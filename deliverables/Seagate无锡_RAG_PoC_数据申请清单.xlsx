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9f5d907b8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89408c26a7f54568"/>
    <x:sheet xmlns:r="http://schemas.openxmlformats.org/officeDocument/2006/relationships" name="01_数据申请" sheetId="2" r:id="R5f3017d8e1c94cc2"/>
    <x:sheet xmlns:r="http://schemas.openxmlformats.org/officeDocument/2006/relationships" name="02_字段映射" sheetId="3" r:id="R991c8c63ef7c4da8"/>
    <x:sheet xmlns:r="http://schemas.openxmlformats.org/officeDocument/2006/relationships" name="03_文档盘点" sheetId="4" r:id="R39d89330382346de"/>
    <x:sheet xmlns:r="http://schemas.openxmlformats.org/officeDocument/2006/relationships" name="04_案例抽样" sheetId="5" r:id="R7a33e9a6ce4f4f36"/>
    <x:sheet xmlns:r="http://schemas.openxmlformats.org/officeDocument/2006/relationships" name="05_安全审批" sheetId="6" r:id="R8d091c5d45674e02"/>
    <x:sheet xmlns:r="http://schemas.openxmlformats.org/officeDocument/2006/relationships" name="06_PoC验收" sheetId="7" r:id="R007120dc457c43b1"/>
    <x:sheet xmlns:r="http://schemas.openxmlformats.org/officeDocument/2006/relationships" name="07_依据与边界" sheetId="8" r:id="R85cb7bbfe8bd4399"/>
    <x:sheet xmlns:r="http://schemas.openxmlformats.org/officeDocument/2006/relationships" name="字典" sheetId="9" r:id="Rb8dc4af175db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7">
    <x:font>
      <x:sz val="11"/>
      <x:name val="Carlito"/>
    </x:font>
    <x:font>
      <x:b/>
      <x:sz val="20"/>
      <x:color rgb="FFFFFFFF"/>
      <x:name val="Carlito"/>
    </x:font>
    <x:font>
      <x:sz val="10"/>
      <x:color rgb="FF52606B"/>
      <x:name val="Carlito"/>
    </x:font>
    <x:font>
      <x:b/>
      <x:sz val="10"/>
      <x:color rgb="FFFFFFFF"/>
      <x:name val="Carlito"/>
    </x:font>
    <x:font>
      <x:sz val="9"/>
      <x:color rgb="FF202B33"/>
      <x:name val="Carlito"/>
    </x:font>
    <x:font>
      <x:b/>
      <x:sz val="12"/>
      <x:color rgb="FF142B3A"/>
      <x:name val="Carlito"/>
    </x:font>
    <x:font>
      <x:sz val="9"/>
      <x:color rgb="FF52606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3A"/>
      </x:patternFill>
    </x:fill>
    <x:fill>
      <x:patternFill patternType="solid">
        <x:fgColor rgb="FFDCEEFF"/>
      </x:patternFill>
    </x:fill>
    <x:fill>
      <x:patternFill patternType="solid">
        <x:fgColor rgb="FF0F6CBD"/>
      </x:patternFill>
    </x:fill>
    <x:fill>
      <x:patternFill patternType="solid">
        <x:fgColor rgb="FFF4F6F7"/>
      </x:patternFill>
    </x:fill>
  </x:fills>
  <x:borders count="7">
    <x:border/>
    <x:border>
      <x:left style="thin">
        <x:color rgb="FF0F6CBD"/>
      </x:left>
      <x:top style="thin">
        <x:color rgb="FF0F6CBD"/>
      </x:top>
      <x:bottom style="thin">
        <x:color rgb="FF0F6CBD"/>
      </x:bottom>
    </x:border>
    <x:border>
      <x:top style="thin">
        <x:color rgb="FF0F6CBD"/>
      </x:top>
      <x:bottom style="thin">
        <x:color rgb="FF0F6CBD"/>
      </x:bottom>
    </x:border>
    <x:border>
      <x:right style="thin">
        <x:color rgb="FF0F6CBD"/>
      </x:right>
      <x:top style="thin">
        <x:color rgb="FF0F6CBD"/>
      </x:top>
      <x:bottom style="thin">
        <x:color rgb="FF0F6CBD"/>
      </x:bottom>
    </x:border>
    <x:border>
      <x:bottom style="thin">
        <x:color rgb="FFE4E8EB"/>
      </x:bottom>
    </x:border>
    <x:border>
      <x:top style="thin">
        <x:color rgb="FFE4E8EB"/>
      </x:top>
      <x:bottom style="thin">
        <x:color rgb="FFE4E8EB"/>
      </x:bottom>
    </x:border>
    <x:border>
      <x:top style="thin">
        <x:color rgb="FFE4E8EB"/>
      </x:top>
      <x:bottom style="thin">
        <x:color rgb="FFCBD2D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20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52606B"/>
      </x:font>
      <x:fill>
        <x:patternFill patternType="solid">
          <x:bgColor rgb="FFF4F6F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a9b851d504115" /><Relationship Type="http://schemas.openxmlformats.org/officeDocument/2006/relationships/theme" Target="/xl/theme/theme1.xml" Id="R863568a029884b6f" /><Relationship Type="http://schemas.openxmlformats.org/officeDocument/2006/relationships/sharedStrings" Target="/xl/sharedStrings.xml" Id="Rde894ac752e3472f" /><Relationship Type="http://schemas.openxmlformats.org/officeDocument/2006/relationships/worksheet" Target="/xl/worksheets/sheet1.xml" Id="R89408c26a7f54568" /><Relationship Type="http://schemas.openxmlformats.org/officeDocument/2006/relationships/worksheet" Target="/xl/worksheets/sheet2.xml" Id="R5f3017d8e1c94cc2" /><Relationship Type="http://schemas.openxmlformats.org/officeDocument/2006/relationships/worksheet" Target="/xl/worksheets/sheet3.xml" Id="R991c8c63ef7c4da8" /><Relationship Type="http://schemas.openxmlformats.org/officeDocument/2006/relationships/worksheet" Target="/xl/worksheets/sheet4.xml" Id="R39d89330382346de" /><Relationship Type="http://schemas.openxmlformats.org/officeDocument/2006/relationships/worksheet" Target="/xl/worksheets/sheet5.xml" Id="R7a33e9a6ce4f4f36" /><Relationship Type="http://schemas.openxmlformats.org/officeDocument/2006/relationships/worksheet" Target="/xl/worksheets/sheet6.xml" Id="R8d091c5d45674e02" /><Relationship Type="http://schemas.openxmlformats.org/officeDocument/2006/relationships/worksheet" Target="/xl/worksheets/sheet7.xml" Id="R007120dc457c43b1" /><Relationship Type="http://schemas.openxmlformats.org/officeDocument/2006/relationships/worksheet" Target="/xl/worksheets/sheet8.xml" Id="R85cb7bbfe8bd4399" /><Relationship Type="http://schemas.openxmlformats.org/officeDocument/2006/relationships/worksheet" Target="/xl/worksheets/sheet9.xml" Id="Rb8dc4af175db4d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4" hidden="0" customWidth="1"/>
    <x:col min="5" max="5" width="18" hidden="0" customWidth="1"/>
    <x:col min="6" max="6" width="20" hidden="0" customWidth="1"/>
    <x:col min="7" max="7" width="26" hidden="0" customWidth="1"/>
    <x:col min="8" max="8" width="30" hidden="0" customWidth="1"/>
  </x:cols>
  <x:sheetData>
    <x:row r="1" ht="34" customHeight="1">
      <x:c r="A1" s="3" t="str">
        <x:v>Seagate 无锡工厂 RAG PoC｜数据准备工作簿</x:v>
      </x:c>
      <x:c r="B1" s="3" t="str">
        <x:v>Seagate 无锡工厂 RAG PoC｜数据准备工作簿</x:v>
      </x:c>
      <x:c r="C1" s="3" t="str">
        <x:v>Seagate 无锡工厂 RAG PoC｜数据准备工作簿</x:v>
      </x:c>
      <x:c r="D1" s="3" t="str">
        <x:v>Seagate 无锡工厂 RAG PoC｜数据准备工作簿</x:v>
      </x:c>
      <x:c r="E1" s="3" t="str">
        <x:v>Seagate 无锡工厂 RAG PoC｜数据准备工作簿</x:v>
      </x:c>
      <x:c r="F1" s="3" t="str">
        <x:v>Seagate 无锡工厂 RAG PoC｜数据准备工作簿</x:v>
      </x:c>
      <x:c r="G1" s="3" t="str">
        <x:v>Seagate 无锡工厂 RAG PoC｜数据准备工作簿</x:v>
      </x:c>
      <x:c r="H1" s="3" t="str">
        <x:v>Seagate 无锡工厂 RAG PoC｜数据准备工作簿</x:v>
      </x:c>
    </x:row>
    <x:row r="2" ht="34" customHeight="1">
      <x:c r="A2" s="7" t="str">
        <x:v>用途：确认 SelfTest（或工厂认可的替代环节）异常首轮分诊 PoC 所需的最小数据、文档、安全审批与验收标准。所有状态由工厂负责人更新。</x:v>
      </x:c>
      <x:c r="B2" s="7" t="str">
        <x:v>用途：确认 SelfTest（或工厂认可的替代环节）异常首轮分诊 PoC 所需的最小数据、文档、安全审批与验收标准。所有状态由工厂负责人更新。</x:v>
      </x:c>
      <x:c r="C2" s="7" t="str">
        <x:v>用途：确认 SelfTest（或工厂认可的替代环节）异常首轮分诊 PoC 所需的最小数据、文档、安全审批与验收标准。所有状态由工厂负责人更新。</x:v>
      </x:c>
      <x:c r="D2" s="7" t="str">
        <x:v>用途：确认 SelfTest（或工厂认可的替代环节）异常首轮分诊 PoC 所需的最小数据、文档、安全审批与验收标准。所有状态由工厂负责人更新。</x:v>
      </x:c>
      <x:c r="E2" s="7" t="str">
        <x:v>用途：确认 SelfTest（或工厂认可的替代环节）异常首轮分诊 PoC 所需的最小数据、文档、安全审批与验收标准。所有状态由工厂负责人更新。</x:v>
      </x:c>
      <x:c r="F2" s="7" t="str">
        <x:v>用途：确认 SelfTest（或工厂认可的替代环节）异常首轮分诊 PoC 所需的最小数据、文档、安全审批与验收标准。所有状态由工厂负责人更新。</x:v>
      </x:c>
      <x:c r="G2" s="7" t="str">
        <x:v>用途：确认 SelfTest（或工厂认可的替代环节）异常首轮分诊 PoC 所需的最小数据、文档、安全审批与验收标准。所有状态由工厂负责人更新。</x:v>
      </x:c>
      <x:c r="H2" s="7" t="str">
        <x:v>用途：确认 SelfTest（或工厂认可的替代环节）异常首轮分诊 PoC 所需的最小数据、文档、安全审批与验收标准。所有状态由工厂负责人更新。</x:v>
      </x:c>
    </x:row>
    <x:row r="4" ht="32" customHeight="1">
      <x:c r="A4" s="19" t="str">
        <x:v>准备状态概览</x:v>
      </x:c>
      <x:c r="B4" s="20" t="str">
        <x:v>值</x:v>
      </x:c>
      <x:c r="C4" s="20" t="str">
        <x:v>说明</x:v>
      </x:c>
      <x:c r="D4" s="20" t="str"/>
      <x:c r="E4" s="20" t="str">
        <x:v>工作顺序</x:v>
      </x:c>
      <x:c r="F4" s="20" t="str">
        <x:v>负责人</x:v>
      </x:c>
      <x:c r="G4" s="20" t="str">
        <x:v>输出</x:v>
      </x:c>
      <x:c r="H4" s="21" t="str">
        <x:v>完成标准</x:v>
      </x:c>
    </x:row>
    <x:row r="5">
      <x:c r="A5" s="33" t="str">
        <x:v>P0 条目</x:v>
      </x:c>
      <x:c r="B5" s="33" t="n">
        <x:f>COUNTIF('01_数据申请'!$B$6:$B$40,"P0")</x:f>
        <x:v>12</x:v>
      </x:c>
      <x:c r="C5" s="33" t="str">
        <x:v>P0 是启动真实数据阶段的必要项</x:v>
      </x:c>
      <x:c r="D5" s="33"/>
      <x:c r="E5" s="33" t="str">
        <x:v>1. 锁定场景</x:v>
      </x:c>
      <x:c r="F5" s="33" t="str">
        <x:v>业务负责人</x:v>
      </x:c>
      <x:c r="G5" s="33" t="str">
        <x:v>一句话问题定义</x:v>
      </x:c>
      <x:c r="H5" s="33" t="str">
        <x:v>SelfTest 或替代场景已批准</x:v>
      </x:c>
    </x:row>
    <x:row r="6">
      <x:c r="A6" s="34" t="str">
        <x:v>已确认条目</x:v>
      </x:c>
      <x:c r="B6" s="34" t="n">
        <x:f>COUNTIF('01_数据申请'!$L$6:$L$40,"已确认")</x:f>
        <x:v>0</x:v>
      </x:c>
      <x:c r="C6" s="34" t="str">
        <x:v>包含 P0/P1/P2 的已确认项</x:v>
      </x:c>
      <x:c r="D6" s="34"/>
      <x:c r="E6" s="34" t="str">
        <x:v>2. 盘点与审批</x:v>
      </x:c>
      <x:c r="F6" s="34" t="str">
        <x:v>数据所有者 / InfoSec</x:v>
      </x:c>
      <x:c r="G6" s="34" t="str">
        <x:v>P0 数据和文档</x:v>
      </x:c>
      <x:c r="H6" s="34" t="str">
        <x:v>字段、密级、用途和留存已批准</x:v>
      </x:c>
    </x:row>
    <x:row r="7">
      <x:c r="A7" s="34" t="str">
        <x:v>P0 准备率</x:v>
      </x:c>
      <x:c r="B7" s="35" t="n">
        <x:f>IF(B5=0,0,COUNTIFS('01_数据申请'!$B$6:$B$40,"P0",'01_数据申请'!$L$6:$L$40,"已确认")/B5)</x:f>
        <x:v>0</x:v>
      </x:c>
      <x:c r="C7" s="34" t="str">
        <x:v>P0 已确认 ÷ P0 总数</x:v>
      </x:c>
      <x:c r="D7" s="34"/>
      <x:c r="E7" s="34" t="str">
        <x:v>3. 建立盲测</x:v>
      </x:c>
      <x:c r="F7" s="34" t="str">
        <x:v>工程 SME / 质量</x:v>
      </x:c>
      <x:c r="G7" s="34" t="str">
        <x:v>50–100 个历史问题</x:v>
      </x:c>
      <x:c r="H7" s="34" t="str">
        <x:v>索引集与盲测集按时间隔离</x:v>
      </x:c>
    </x:row>
    <x:row r="8">
      <x:c r="A8" s="36" t="str">
        <x:v>阻塞项</x:v>
      </x:c>
      <x:c r="B8" s="36" t="n">
        <x:f>COUNTIF('01_数据申请'!$L$6:$L$40,"阻塞")</x:f>
        <x:v>0</x:v>
      </x:c>
      <x:c r="C8" s="36" t="str">
        <x:v>需要负责人做决策或补权限</x:v>
      </x:c>
      <x:c r="D8" s="36"/>
      <x:c r="E8" s="36" t="str">
        <x:v>4. 运行 6 周 PoC</x:v>
      </x:c>
      <x:c r="F8" s="36" t="str">
        <x:v>GFIT / PoC 团队</x:v>
      </x:c>
      <x:c r="G8" s="36" t="str">
        <x:v>检索、引用、安全和效率指标</x:v>
      </x:c>
      <x:c r="H8" s="36" t="str">
        <x:v>第 6 周完成 Go / Adjust / Stop</x:v>
      </x:c>
    </x:row>
    <x:row r="10">
      <x:c r="A10" s="38" t="str">
        <x:v>重要边界</x:v>
      </x:c>
      <x:c r="B10" s="38"/>
      <x:c r="C10" s="38"/>
      <x:c r="D10" s="38"/>
      <x:c r="E10" s="38"/>
      <x:c r="F10" s="38"/>
      <x:c r="G10" s="38"/>
      <x:c r="H10" s="38"/>
    </x:row>
    <x:row r="11">
      <x:c r="A11" s="40" t="str">
        <x:v>本工作簿不包含 Seagate 内部数据；F127、产品、产线、设备和案例均为合成示例。</x:v>
      </x:c>
      <x:c r="B11" s="40"/>
      <x:c r="C11" s="40"/>
      <x:c r="D11" s="40"/>
      <x:c r="E11" s="40"/>
      <x:c r="F11" s="40"/>
      <x:c r="G11" s="40"/>
      <x:c r="H11" s="40"/>
    </x:row>
    <x:row r="12">
      <x:c r="A12" s="40" t="str">
        <x:v>PoC 只读，不自动改参数、跳测、停线、隔离、报废或放行产品。</x:v>
      </x:c>
      <x:c r="B12" s="40"/>
      <x:c r="C12" s="40"/>
      <x:c r="D12" s="40"/>
      <x:c r="E12" s="40"/>
      <x:c r="F12" s="40"/>
      <x:c r="G12" s="40"/>
      <x:c r="H12" s="40"/>
    </x:row>
    <x:row r="13">
      <x:c r="A13" s="40" t="str">
        <x:v>数据只在 Seagate 批准环境使用；禁止把密钥、个人信息和未经批准的受限资料放入索引。</x:v>
      </x:c>
      <x:c r="B13" s="40"/>
      <x:c r="C13" s="40"/>
      <x:c r="D13" s="40"/>
      <x:c r="E13" s="40"/>
      <x:c r="F13" s="40"/>
      <x:c r="G13" s="40"/>
      <x:c r="H13" s="40"/>
    </x:row>
    <x:row r="14">
      <x:c r="A14" s="40" t="str">
        <x:v>盲测集不得参与提示词调试、索引构建或案例编写。</x:v>
      </x:c>
      <x:c r="B14" s="40"/>
      <x:c r="C14" s="40"/>
      <x:c r="D14" s="40"/>
      <x:c r="E14" s="40"/>
      <x:c r="F14" s="40"/>
      <x:c r="G14" s="40"/>
      <x:c r="H14" s="40"/>
    </x:row>
    <x:row r="15">
      <x:c r="A15" s="40" t="str">
        <x:v>任何安全红线失败都不能被平均分抵消。</x:v>
      </x:c>
      <x:c r="B15" s="40"/>
      <x:c r="C15" s="40"/>
      <x:c r="D15" s="40"/>
      <x:c r="E15" s="40"/>
      <x:c r="F15" s="40"/>
      <x:c r="G15" s="40"/>
      <x:c r="H15" s="40"/>
    </x:row>
  </x:sheetData>
  <x:mergeCells>
    <x:mergeCell ref="A1:H1"/>
    <x:mergeCell ref="A2:H2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24" hidden="0" customWidth="1"/>
    <x:col min="5" max="5" width="28" hidden="0" customWidth="1"/>
    <x:col min="6" max="6" width="22" hidden="0" customWidth="1"/>
    <x:col min="7" max="7" width="22" hidden="0" customWidth="1"/>
    <x:col min="8" max="8" width="23" hidden="0" customWidth="1"/>
    <x:col min="9" max="9" width="38" hidden="0" customWidth="1"/>
    <x:col min="10" max="10" width="10" hidden="0" customWidth="1"/>
    <x:col min="11" max="11" width="28" hidden="0" customWidth="1"/>
    <x:col min="12" max="12" width="12" hidden="0" customWidth="1"/>
    <x:col min="13" max="13" width="17" hidden="0" customWidth="1"/>
    <x:col min="14" max="14" width="28" hidden="0" customWidth="1"/>
  </x:cols>
  <x:sheetData>
    <x:row r="1" ht="34" customHeight="1">
      <x:c r="A1" s="3" t="str">
        <x:v>01｜数据申请清单</x:v>
      </x:c>
      <x:c r="B1" s="3" t="str">
        <x:v>01｜数据申请清单</x:v>
      </x:c>
      <x:c r="C1" s="3" t="str">
        <x:v>01｜数据申请清单</x:v>
      </x:c>
      <x:c r="D1" s="3" t="str">
        <x:v>01｜数据申请清单</x:v>
      </x:c>
      <x:c r="E1" s="3" t="str">
        <x:v>01｜数据申请清单</x:v>
      </x:c>
      <x:c r="F1" s="3" t="str">
        <x:v>01｜数据申请清单</x:v>
      </x:c>
      <x:c r="G1" s="3" t="str">
        <x:v>01｜数据申请清单</x:v>
      </x:c>
      <x:c r="H1" s="3" t="str">
        <x:v>01｜数据申请清单</x:v>
      </x:c>
      <x:c r="I1" s="3" t="str">
        <x:v>01｜数据申请清单</x:v>
      </x:c>
      <x:c r="J1" s="3" t="str">
        <x:v>01｜数据申请清单</x:v>
      </x:c>
      <x:c r="K1" s="3" t="str">
        <x:v>01｜数据申请清单</x:v>
      </x:c>
      <x:c r="L1" s="3" t="str">
        <x:v>01｜数据申请清单</x:v>
      </x:c>
      <x:c r="M1" s="3" t="str">
        <x:v>01｜数据申请清单</x:v>
      </x:c>
      <x:c r="N1" s="3" t="str">
        <x:v>01｜数据申请清单</x:v>
      </x:c>
    </x:row>
    <x:row r="2" ht="34" customHeight="1">
      <x:c r="A2" s="7" t="str">
        <x:v>先申请最小必要样本。P0 未完成前不进入真实数据开发；状态、负责人和审批证据应由 Seagate 内部人员维护。</x:v>
      </x:c>
      <x:c r="B2" s="7" t="str">
        <x:v>先申请最小必要样本。P0 未完成前不进入真实数据开发；状态、负责人和审批证据应由 Seagate 内部人员维护。</x:v>
      </x:c>
      <x:c r="C2" s="7" t="str">
        <x:v>先申请最小必要样本。P0 未完成前不进入真实数据开发；状态、负责人和审批证据应由 Seagate 内部人员维护。</x:v>
      </x:c>
      <x:c r="D2" s="7" t="str">
        <x:v>先申请最小必要样本。P0 未完成前不进入真实数据开发；状态、负责人和审批证据应由 Seagate 内部人员维护。</x:v>
      </x:c>
      <x:c r="E2" s="7" t="str">
        <x:v>先申请最小必要样本。P0 未完成前不进入真实数据开发；状态、负责人和审批证据应由 Seagate 内部人员维护。</x:v>
      </x:c>
      <x:c r="F2" s="7" t="str">
        <x:v>先申请最小必要样本。P0 未完成前不进入真实数据开发；状态、负责人和审批证据应由 Seagate 内部人员维护。</x:v>
      </x:c>
      <x:c r="G2" s="7" t="str">
        <x:v>先申请最小必要样本。P0 未完成前不进入真实数据开发；状态、负责人和审批证据应由 Seagate 内部人员维护。</x:v>
      </x:c>
      <x:c r="H2" s="7" t="str">
        <x:v>先申请最小必要样本。P0 未完成前不进入真实数据开发；状态、负责人和审批证据应由 Seagate 内部人员维护。</x:v>
      </x:c>
      <x:c r="I2" s="7" t="str">
        <x:v>先申请最小必要样本。P0 未完成前不进入真实数据开发；状态、负责人和审批证据应由 Seagate 内部人员维护。</x:v>
      </x:c>
      <x:c r="J2" s="7" t="str">
        <x:v>先申请最小必要样本。P0 未完成前不进入真实数据开发；状态、负责人和审批证据应由 Seagate 内部人员维护。</x:v>
      </x:c>
      <x:c r="K2" s="7" t="str">
        <x:v>先申请最小必要样本。P0 未完成前不进入真实数据开发；状态、负责人和审批证据应由 Seagate 内部人员维护。</x:v>
      </x:c>
      <x:c r="L2" s="7" t="str">
        <x:v>先申请最小必要样本。P0 未完成前不进入真实数据开发；状态、负责人和审批证据应由 Seagate 内部人员维护。</x:v>
      </x:c>
      <x:c r="M2" s="7" t="str">
        <x:v>先申请最小必要样本。P0 未完成前不进入真实数据开发；状态、负责人和审批证据应由 Seagate 内部人员维护。</x:v>
      </x:c>
      <x:c r="N2" s="7" t="str">
        <x:v>先申请最小必要样本。P0 未完成前不进入真实数据开发；状态、负责人和审批证据应由 Seagate 内部人员维护。</x:v>
      </x:c>
    </x:row>
    <x:row r="4">
      <x:c r="A4" s="42" t="str">
        <x:v>状态说明：未开始 → 盘点中 → 待审批 → 已确认；无法继续时标为阻塞，并在备注写清决策人和下一步。</x:v>
      </x:c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</x:row>
    <x:row r="5" ht="32" customHeight="1">
      <x:c r="A5" s="19" t="str">
        <x:v>ID</x:v>
      </x:c>
      <x:c r="B5" s="20" t="str">
        <x:v>优先级</x:v>
      </x:c>
      <x:c r="C5" s="20" t="str">
        <x:v>数据类别</x:v>
      </x:c>
      <x:c r="D5" s="20" t="str">
        <x:v>申请项</x:v>
      </x:c>
      <x:c r="E5" s="20" t="str">
        <x:v>业务目的</x:v>
      </x:c>
      <x:c r="F5" s="20" t="str">
        <x:v>建议所有者</x:v>
      </x:c>
      <x:c r="G5" s="20" t="str">
        <x:v>候选来源</x:v>
      </x:c>
      <x:c r="H5" s="20" t="str">
        <x:v>最小样本/范围</x:v>
      </x:c>
      <x:c r="I5" s="20" t="str">
        <x:v>必要字段或元数据</x:v>
      </x:c>
      <x:c r="J5" s="20" t="str">
        <x:v>敏感性</x:v>
      </x:c>
      <x:c r="K5" s="20" t="str">
        <x:v>脱敏要求</x:v>
      </x:c>
      <x:c r="L5" s="20" t="str">
        <x:v>状态</x:v>
      </x:c>
      <x:c r="M5" s="20" t="str">
        <x:v>交付格式</x:v>
      </x:c>
      <x:c r="N5" s="21" t="str">
        <x:v>备注/审批证据</x:v>
      </x:c>
    </x:row>
    <x:row r="6" ht="58" customHeight="1">
      <x:c r="A6" s="33" t="str">
        <x:v>DR-001</x:v>
      </x:c>
      <x:c r="B6" s="33" t="str">
        <x:v>P0</x:v>
      </x:c>
      <x:c r="C6" s="33" t="str">
        <x:v>历史案例</x:v>
      </x:c>
      <x:c r="D6" s="33" t="str">
        <x:v>已关闭的典型测试/良率异常</x:v>
      </x:c>
      <x:c r="E6" s="33" t="str">
        <x:v>建立相似案例索引与盲测集</x:v>
      </x:c>
      <x:c r="F6" s="33" t="str">
        <x:v>产品/性能工程 + 质量/FA</x:v>
      </x:c>
      <x:c r="G6" s="33" t="str">
        <x:v>SeaTrack / 问题管理 / FA 库</x:v>
      </x:c>
      <x:c r="H6" s="33" t="str">
        <x:v>50–100 个；覆盖主要根因类别</x:v>
      </x:c>
      <x:c r="I6" s="33" t="str">
        <x:v>调查ID、上下文、检查、排除项、根因、措施、验证、审核状态</x:v>
      </x:c>
      <x:c r="J6" s="33" t="str">
        <x:v>高</x:v>
      </x:c>
      <x:c r="K6" s="33" t="str">
        <x:v>删除姓名/客户/供应商；稳定映射产品和批次</x:v>
      </x:c>
      <x:c r="L6" s="33" t="str">
        <x:v>未开始</x:v>
      </x:c>
      <x:c r="M6" s="33" t="str">
        <x:v>CSV/Parquet + 证据链接</x:v>
      </x:c>
      <x:c r="N6" s="33" t="str"/>
    </x:row>
    <x:row r="7" ht="58" customHeight="1">
      <x:c r="A7" s="34" t="str">
        <x:v>DR-002</x:v>
      </x:c>
      <x:c r="B7" s="34" t="str">
        <x:v>P0</x:v>
      </x:c>
      <x:c r="C7" s="34" t="str">
        <x:v>制造上下文</x:v>
      </x:c>
      <x:c r="D7" s="34" t="str">
        <x:v>测试聚合观测</x:v>
      </x:c>
      <x:c r="E7" s="34" t="str">
        <x:v>区分单站、多站、批次和版本集中</x:v>
      </x:c>
      <x:c r="F7" s="34" t="str">
        <x:v>MES 数据所有者</x:v>
      </x:c>
      <x:c r="G7" s="34" t="str">
        <x:v>SeaTrack / 测试数据仓库</x:v>
      </x:c>
      <x:c r="H7" s="34" t="str">
        <x:v>8–12 周；小时级或事件级</x:v>
      </x:c>
      <x:c r="I7" s="34" t="str">
        <x:v>时间、产品、线/站/设备、阶段、测试量、FPY、失败代码、批次、程序/固件</x:v>
      </x:c>
      <x:c r="J7" s="34" t="str">
        <x:v>高</x:v>
      </x:c>
      <x:c r="K7" s="34" t="str">
        <x:v>默认不含单盘序列号；时间可固定偏移</x:v>
      </x:c>
      <x:c r="L7" s="34" t="str">
        <x:v>未开始</x:v>
      </x:c>
      <x:c r="M7" s="34" t="str">
        <x:v>只读视图/Parquet/CSV</x:v>
      </x:c>
      <x:c r="N7" s="34" t="str"/>
    </x:row>
    <x:row r="8" ht="58" customHeight="1">
      <x:c r="A8" s="34" t="str">
        <x:v>DR-003</x:v>
      </x:c>
      <x:c r="B8" s="34" t="str">
        <x:v>P0</x:v>
      </x:c>
      <x:c r="C8" s="34" t="str">
        <x:v>主数据</x:v>
      </x:c>
      <x:c r="D8" s="34" t="str">
        <x:v>产品与产品族映射</x:v>
      </x:c>
      <x:c r="E8" s="34" t="str">
        <x:v>判断案例适用范围</x:v>
      </x:c>
      <x:c r="F8" s="34" t="str">
        <x:v>产品工程</x:v>
      </x:c>
      <x:c r="G8" s="34" t="str">
        <x:v>PLM / MES 主数据</x:v>
      </x:c>
      <x:c r="H8" s="34" t="str">
        <x:v>所有 PoC 产品</x:v>
      </x:c>
      <x:c r="I8" s="34" t="str">
        <x:v>产品ID、产品族、生命周期、有效期</x:v>
      </x:c>
      <x:c r="J8" s="34" t="str">
        <x:v>中</x:v>
      </x:c>
      <x:c r="K8" s="34" t="str">
        <x:v>具体型号可稳定别名化</x:v>
      </x:c>
      <x:c r="L8" s="34" t="str">
        <x:v>未开始</x:v>
      </x:c>
      <x:c r="M8" s="34" t="str">
        <x:v>CSV/API</x:v>
      </x:c>
      <x:c r="N8" s="34" t="str"/>
    </x:row>
    <x:row r="9" ht="58" customHeight="1">
      <x:c r="A9" s="34" t="str">
        <x:v>DR-004</x:v>
      </x:c>
      <x:c r="B9" s="34" t="str">
        <x:v>P0</x:v>
      </x:c>
      <x:c r="C9" s="34" t="str">
        <x:v>主数据</x:v>
      </x:c>
      <x:c r="D9" s="34" t="str">
        <x:v>产线—站点—设备关系</x:v>
      </x:c>
      <x:c r="E9" s="34" t="str">
        <x:v>判断异常范围和设备共因</x:v>
      </x:c>
      <x:c r="F9" s="34" t="str">
        <x:v>制造 IT / 设备工程</x:v>
      </x:c>
      <x:c r="G9" s="34" t="str">
        <x:v>MES / 设备主数据</x:v>
      </x:c>
      <x:c r="H9" s="34" t="str">
        <x:v>PoC 区域全部节点</x:v>
      </x:c>
      <x:c r="I9" s="34" t="str">
        <x:v>线ID、站点ID、设备ID、类型、状态、有效期</x:v>
      </x:c>
      <x:c r="J9" s="34" t="str">
        <x:v>高</x:v>
      </x:c>
      <x:c r="K9" s="34" t="str">
        <x:v>稳定映射，不破坏层级</x:v>
      </x:c>
      <x:c r="L9" s="34" t="str">
        <x:v>未开始</x:v>
      </x:c>
      <x:c r="M9" s="34" t="str">
        <x:v>CSV/API</x:v>
      </x:c>
      <x:c r="N9" s="34" t="str"/>
    </x:row>
    <x:row r="10" ht="58" customHeight="1">
      <x:c r="A10" s="34" t="str">
        <x:v>DR-005</x:v>
      </x:c>
      <x:c r="B10" s="34" t="str">
        <x:v>P0</x:v>
      </x:c>
      <x:c r="C10" s="34" t="str">
        <x:v>主数据</x:v>
      </x:c>
      <x:c r="D10" s="34" t="str">
        <x:v>Failure Code/失败模式字典</x:v>
      </x:c>
      <x:c r="E10" s="34" t="str">
        <x:v>理解现象但不把代码当根因</x:v>
      </x:c>
      <x:c r="F10" s="34" t="str">
        <x:v>产品/测试工程</x:v>
      </x:c>
      <x:c r="G10" s="34" t="str">
        <x:v>测试定义库 / SeaTrack</x:v>
      </x:c>
      <x:c r="H10" s="34" t="str">
        <x:v>PoC 范围全部代码</x:v>
      </x:c>
      <x:c r="I10" s="34" t="str">
        <x:v>代码、名称、阶段、适用产品、版本、有效期、所有者</x:v>
      </x:c>
      <x:c r="J10" s="34" t="str">
        <x:v>高</x:v>
      </x:c>
      <x:c r="K10" s="34" t="str">
        <x:v>保留语义；删除受限参数</x:v>
      </x:c>
      <x:c r="L10" s="34" t="str">
        <x:v>未开始</x:v>
      </x:c>
      <x:c r="M10" s="34" t="str">
        <x:v>CSV + 文档链接</x:v>
      </x:c>
      <x:c r="N10" s="34" t="str"/>
    </x:row>
    <x:row r="11" ht="58" customHeight="1">
      <x:c r="A11" s="34" t="str">
        <x:v>DR-006</x:v>
      </x:c>
      <x:c r="B11" s="34" t="str">
        <x:v>P0</x:v>
      </x:c>
      <x:c r="C11" s="34" t="str">
        <x:v>主数据</x:v>
      </x:c>
      <x:c r="D11" s="34" t="str">
        <x:v>测试程序与固件版本</x:v>
      </x:c>
      <x:c r="E11" s="34" t="str">
        <x:v>识别版本变更相关性</x:v>
      </x:c>
      <x:c r="F11" s="34" t="str">
        <x:v>测试工程 / 固件团队</x:v>
      </x:c>
      <x:c r="G11" s="34" t="str">
        <x:v>发布系统 / SeaTrack</x:v>
      </x:c>
      <x:c r="H11" s="34" t="str">
        <x:v>8–12 周内全部版本</x:v>
      </x:c>
      <x:c r="I11" s="34" t="str">
        <x:v>类型、版本、状态、发布时间、适用产品、变更ID</x:v>
      </x:c>
      <x:c r="J11" s="34" t="str">
        <x:v>高</x:v>
      </x:c>
      <x:c r="K11" s="34" t="str">
        <x:v>不交付源代码或密钥</x:v>
      </x:c>
      <x:c r="L11" s="34" t="str">
        <x:v>未开始</x:v>
      </x:c>
      <x:c r="M11" s="34" t="str">
        <x:v>CSV/API</x:v>
      </x:c>
      <x:c r="N11" s="34" t="str"/>
    </x:row>
    <x:row r="12" ht="58" customHeight="1">
      <x:c r="A12" s="34" t="str">
        <x:v>DR-007</x:v>
      </x:c>
      <x:c r="B12" s="34" t="str">
        <x:v>P0</x:v>
      </x:c>
      <x:c r="C12" s="34" t="str">
        <x:v>工程文档</x:v>
      </x:c>
      <x:c r="D12" s="34" t="str">
        <x:v>有效 SOP / OCAP</x:v>
      </x:c>
      <x:c r="E12" s="34" t="str">
        <x:v>为检查建议提供权威依据</x:v>
      </x:c>
      <x:c r="F12" s="34" t="str">
        <x:v>工艺/质量文控</x:v>
      </x:c>
      <x:c r="G12" s="34" t="str">
        <x:v>文档管理系统</x:v>
      </x:c>
      <x:c r="H12" s="34" t="str">
        <x:v>每类 5–20 份</x:v>
      </x:c>
      <x:c r="I12" s="34" t="str">
        <x:v>文档ID、版本、状态、生效/失效、适用范围、所有者、访问角色</x:v>
      </x:c>
      <x:c r="J12" s="34" t="str">
        <x:v>高</x:v>
      </x:c>
      <x:c r="K12" s="34" t="str">
        <x:v>正文脱敏；保留章节和页码</x:v>
      </x:c>
      <x:c r="L12" s="34" t="str">
        <x:v>未开始</x:v>
      </x:c>
      <x:c r="M12" s="34" t="str">
        <x:v>PDF/DOCX/HTML + 元数据</x:v>
      </x:c>
      <x:c r="N12" s="34" t="str"/>
    </x:row>
    <x:row r="13" ht="58" customHeight="1">
      <x:c r="A13" s="34" t="str">
        <x:v>DR-008</x:v>
      </x:c>
      <x:c r="B13" s="34" t="str">
        <x:v>P0</x:v>
      </x:c>
      <x:c r="C13" s="34" t="str">
        <x:v>工程文档</x:v>
      </x:c>
      <x:c r="D13" s="34" t="str">
        <x:v>FA / 8D / 问题关闭报告</x:v>
      </x:c>
      <x:c r="E13" s="34" t="str">
        <x:v>提取已验证根因与适用条件</x:v>
      </x:c>
      <x:c r="F13" s="34" t="str">
        <x:v>质量/FA</x:v>
      </x:c>
      <x:c r="G13" s="34" t="str">
        <x:v>FA 库 / 问题管理</x:v>
      </x:c>
      <x:c r="H13" s="34" t="str">
        <x:v>覆盖案例样本</x:v>
      </x:c>
      <x:c r="I13" s="34" t="str">
        <x:v>报告ID、案例ID、结论状态、根因、验证、批准人角色</x:v>
      </x:c>
      <x:c r="J13" s="34" t="str">
        <x:v>高</x:v>
      </x:c>
      <x:c r="K13" s="34" t="str">
        <x:v>删除姓名、客户、供应商和受限参数</x:v>
      </x:c>
      <x:c r="L13" s="34" t="str">
        <x:v>未开始</x:v>
      </x:c>
      <x:c r="M13" s="34" t="str">
        <x:v>PDF/DOCX + 元数据</x:v>
      </x:c>
      <x:c r="N13" s="34" t="str"/>
    </x:row>
    <x:row r="14" ht="58" customHeight="1">
      <x:c r="A14" s="34" t="str">
        <x:v>DR-009</x:v>
      </x:c>
      <x:c r="B14" s="34" t="str">
        <x:v>P0</x:v>
      </x:c>
      <x:c r="C14" s="34" t="str">
        <x:v>工程文档</x:v>
      </x:c>
      <x:c r="D14" s="34" t="str">
        <x:v>变更记录</x:v>
      </x:c>
      <x:c r="E14" s="34" t="str">
        <x:v>识别程序、固件、工艺或设备变更</x:v>
      </x:c>
      <x:c r="F14" s="34" t="str">
        <x:v>变更委员会 / 工程</x:v>
      </x:c>
      <x:c r="G14" s="34" t="str">
        <x:v>PLM / 变更系统</x:v>
      </x:c>
      <x:c r="H14" s="34" t="str">
        <x:v>8–12 周 + 案例相关历史</x:v>
      </x:c>
      <x:c r="I14" s="34" t="str">
        <x:v>变更ID、类型、时间、对象、适用范围、状态、批准角色</x:v>
      </x:c>
      <x:c r="J14" s="34" t="str">
        <x:v>高</x:v>
      </x:c>
      <x:c r="K14" s="34" t="str">
        <x:v>稳定映射对象；不含商业敏感附件</x:v>
      </x:c>
      <x:c r="L14" s="34" t="str">
        <x:v>未开始</x:v>
      </x:c>
      <x:c r="M14" s="34" t="str">
        <x:v>CSV + 文档</x:v>
      </x:c>
      <x:c r="N14" s="34" t="str"/>
    </x:row>
    <x:row r="15" ht="58" customHeight="1">
      <x:c r="A15" s="34" t="str">
        <x:v>DR-010</x:v>
      </x:c>
      <x:c r="B15" s="34" t="str">
        <x:v>P0</x:v>
      </x:c>
      <x:c r="C15" s="34" t="str">
        <x:v>治理</x:v>
      </x:c>
      <x:c r="D15" s="34" t="str">
        <x:v>文档权限与角色映射</x:v>
      </x:c>
      <x:c r="E15" s="34" t="str">
        <x:v>保证检索不扩大源权限</x:v>
      </x:c>
      <x:c r="F15" s="34" t="str">
        <x:v>InfoSec / IAM / 文控</x:v>
      </x:c>
      <x:c r="G15" s="34" t="str">
        <x:v>IAM / DMS</x:v>
      </x:c>
      <x:c r="H15" s="34" t="str">
        <x:v>覆盖 PoC 用户和文档</x:v>
      </x:c>
      <x:c r="I15" s="34" t="str">
        <x:v>用户角色、团队、文档密级、允许角色、有效期</x:v>
      </x:c>
      <x:c r="J15" s="34" t="str">
        <x:v>极高</x:v>
      </x:c>
      <x:c r="K15" s="34" t="str">
        <x:v>不导出凭据；仅角色映射</x:v>
      </x:c>
      <x:c r="L15" s="34" t="str">
        <x:v>未开始</x:v>
      </x:c>
      <x:c r="M15" s="34" t="str">
        <x:v>只读接口/配置</x:v>
      </x:c>
      <x:c r="N15" s="34" t="str"/>
    </x:row>
    <x:row r="16" ht="58" customHeight="1">
      <x:c r="A16" s="34" t="str">
        <x:v>DR-011</x:v>
      </x:c>
      <x:c r="B16" s="34" t="str">
        <x:v>P0</x:v>
      </x:c>
      <x:c r="C16" s="34" t="str">
        <x:v>治理</x:v>
      </x:c>
      <x:c r="D16" s="34" t="str">
        <x:v>数据审批与留存规则</x:v>
      </x:c>
      <x:c r="E16" s="34" t="str">
        <x:v>确定用途、位置和删除日期</x:v>
      </x:c>
      <x:c r="F16" s="34" t="str">
        <x:v>数据所有者 / InfoSec</x:v>
      </x:c>
      <x:c r="G16" s="34" t="str">
        <x:v>审批记录</x:v>
      </x:c>
      <x:c r="H16" s="34" t="str">
        <x:v>所有 P0 数据源</x:v>
      </x:c>
      <x:c r="I16" s="34" t="str">
        <x:v>审批编号、用途、环境、保留期、删除负责人</x:v>
      </x:c>
      <x:c r="J16" s="34" t="str">
        <x:v>极高</x:v>
      </x:c>
      <x:c r="K16" s="34" t="str">
        <x:v>不含密钥</x:v>
      </x:c>
      <x:c r="L16" s="34" t="str">
        <x:v>未开始</x:v>
      </x:c>
      <x:c r="M16" s="34" t="str">
        <x:v>审批表/工单链接</x:v>
      </x:c>
      <x:c r="N16" s="34" t="str"/>
    </x:row>
    <x:row r="17" ht="58" customHeight="1">
      <x:c r="A17" s="34" t="str">
        <x:v>DR-012</x:v>
      </x:c>
      <x:c r="B17" s="34" t="str">
        <x:v>P0</x:v>
      </x:c>
      <x:c r="C17" s="34" t="str">
        <x:v>评测</x:v>
      </x:c>
      <x:c r="D17" s="34" t="str">
        <x:v>当前首轮分诊耗时基线</x:v>
      </x:c>
      <x:c r="E17" s="34" t="str">
        <x:v>衡量时间节省</x:v>
      </x:c>
      <x:c r="F17" s="34" t="str">
        <x:v>业务负责人</x:v>
      </x:c>
      <x:c r="G17" s="34" t="str">
        <x:v>工单 / 调查记录 / 访谈</x:v>
      </x:c>
      <x:c r="H17" s="34" t="str">
        <x:v>至少 30 个可比问题</x:v>
      </x:c>
      <x:c r="I17" s="34" t="str">
        <x:v>开始/结束定义、耗时、问题类型、参与角色</x:v>
      </x:c>
      <x:c r="J17" s="34" t="str">
        <x:v>中</x:v>
      </x:c>
      <x:c r="K17" s="34" t="str">
        <x:v>人员使用角色或匿名ID</x:v>
      </x:c>
      <x:c r="L17" s="34" t="str">
        <x:v>未开始</x:v>
      </x:c>
      <x:c r="M17" s="34" t="str">
        <x:v>CSV/统计表</x:v>
      </x:c>
      <x:c r="N17" s="34" t="str"/>
    </x:row>
    <x:row r="18" ht="58" customHeight="1">
      <x:c r="A18" s="34" t="str">
        <x:v>DR-013</x:v>
      </x:c>
      <x:c r="B18" s="34" t="str">
        <x:v>P1</x:v>
      </x:c>
      <x:c r="C18" s="34" t="str">
        <x:v>制造上下文</x:v>
      </x:c>
      <x:c r="D18" s="34" t="str">
        <x:v>物料批次与供应商匿名别名</x:v>
      </x:c>
      <x:c r="E18" s="34" t="str">
        <x:v>识别同批次集中</x:v>
      </x:c>
      <x:c r="F18" s="34" t="str">
        <x:v>来料质量 / MES</x:v>
      </x:c>
      <x:c r="G18" s="34" t="str">
        <x:v>MES / 质量系统</x:v>
      </x:c>
      <x:c r="H18" s="34" t="str">
        <x:v>覆盖 8–12 周观测</x:v>
      </x:c>
      <x:c r="I18" s="34" t="str">
        <x:v>物料类型、料号别名、批次别名、收料时间、质量状态</x:v>
      </x:c>
      <x:c r="J18" s="34" t="str">
        <x:v>高</x:v>
      </x:c>
      <x:c r="K18" s="34" t="str">
        <x:v>供应商必须匿名化</x:v>
      </x:c>
      <x:c r="L18" s="34" t="str">
        <x:v>未开始</x:v>
      </x:c>
      <x:c r="M18" s="34" t="str">
        <x:v>CSV/API</x:v>
      </x:c>
      <x:c r="N18" s="34" t="str"/>
    </x:row>
    <x:row r="19" ht="58" customHeight="1">
      <x:c r="A19" s="34" t="str">
        <x:v>DR-014</x:v>
      </x:c>
      <x:c r="B19" s="34" t="str">
        <x:v>P1</x:v>
      </x:c>
      <x:c r="C19" s="34" t="str">
        <x:v>设备数据</x:v>
      </x:c>
      <x:c r="D19" s="34" t="str">
        <x:v>校准与维护事件</x:v>
      </x:c>
      <x:c r="E19" s="34" t="str">
        <x:v>支持设备类案例排序</x:v>
      </x:c>
      <x:c r="F19" s="34" t="str">
        <x:v>设备工程</x:v>
      </x:c>
      <x:c r="G19" s="34" t="str">
        <x:v>EAM / 维护系统</x:v>
      </x:c>
      <x:c r="H19" s="34" t="str">
        <x:v>8–12 周 + 案例相关历史</x:v>
      </x:c>
      <x:c r="I19" s="34" t="str">
        <x:v>设备ID、事件类型、时间、结果、状态</x:v>
      </x:c>
      <x:c r="J19" s="34" t="str">
        <x:v>高</x:v>
      </x:c>
      <x:c r="K19" s="34" t="str">
        <x:v>删除执行人姓名</x:v>
      </x:c>
      <x:c r="L19" s="34" t="str">
        <x:v>未开始</x:v>
      </x:c>
      <x:c r="M19" s="34" t="str">
        <x:v>CSV/API</x:v>
      </x:c>
      <x:c r="N19" s="34" t="str"/>
    </x:row>
    <x:row r="20" ht="58" customHeight="1">
      <x:c r="A20" s="34" t="str">
        <x:v>DR-015</x:v>
      </x:c>
      <x:c r="B20" s="34" t="str">
        <x:v>P1</x:v>
      </x:c>
      <x:c r="C20" s="34" t="str">
        <x:v>工程文档</x:v>
      </x:c>
      <x:c r="D20" s="34" t="str">
        <x:v>交接/Passdown 记录</x:v>
      </x:c>
      <x:c r="E20" s="34" t="str">
        <x:v>补充问题时间线线索</x:v>
      </x:c>
      <x:c r="F20" s="34" t="str">
        <x:v>制造/工程班组</x:v>
      </x:c>
      <x:c r="G20" s="34" t="str">
        <x:v>批准的协作平台</x:v>
      </x:c>
      <x:c r="H20" s="34" t="str">
        <x:v>2–4 周脱敏样本</x:v>
      </x:c>
      <x:c r="I20" s="34" t="str">
        <x:v>时间、区域、主题、关联调查ID、发布角色</x:v>
      </x:c>
      <x:c r="J20" s="34" t="str">
        <x:v>高</x:v>
      </x:c>
      <x:c r="K20" s="34" t="str">
        <x:v>默认不使用私人消息；需单独批准</x:v>
      </x:c>
      <x:c r="L20" s="34" t="str">
        <x:v>未开始</x:v>
      </x:c>
      <x:c r="M20" s="34" t="str">
        <x:v>导出或不适用</x:v>
      </x:c>
      <x:c r="N20" s="34" t="str"/>
    </x:row>
    <x:row r="21" ht="58" customHeight="1">
      <x:c r="A21" s="34" t="str">
        <x:v>DR-016</x:v>
      </x:c>
      <x:c r="B21" s="34" t="str">
        <x:v>P1</x:v>
      </x:c>
      <x:c r="C21" s="34" t="str">
        <x:v>反馈</x:v>
      </x:c>
      <x:c r="D21" s="34" t="str">
        <x:v>工程师检索相关性标注</x:v>
      </x:c>
      <x:c r="E21" s="34" t="str">
        <x:v>训练排序并评估采用性</x:v>
      </x:c>
      <x:c r="F21" s="34" t="str">
        <x:v>工程 SME</x:v>
      </x:c>
      <x:c r="G21" s="34" t="str">
        <x:v>PoC 评测工具</x:v>
      </x:c>
      <x:c r="H21" s="34" t="str">
        <x:v>每个盲测问题至少 2 人</x:v>
      </x:c>
      <x:c r="I21" s="34" t="str">
        <x:v>query、case_id、相关/部分/无关、理由、标注者角色</x:v>
      </x:c>
      <x:c r="J21" s="34" t="str">
        <x:v>中</x:v>
      </x:c>
      <x:c r="K21" s="34" t="str">
        <x:v>匿名标注者ID</x:v>
      </x:c>
      <x:c r="L21" s="34" t="str">
        <x:v>未开始</x:v>
      </x:c>
      <x:c r="M21" s="34" t="str">
        <x:v>CSV/API</x:v>
      </x:c>
      <x:c r="N21" s="34" t="str"/>
    </x:row>
    <x:row r="22" ht="58" customHeight="1">
      <x:c r="A22" s="34" t="str">
        <x:v>DR-017</x:v>
      </x:c>
      <x:c r="B22" s="34" t="str">
        <x:v>P1</x:v>
      </x:c>
      <x:c r="C22" s="34" t="str">
        <x:v>治理</x:v>
      </x:c>
      <x:c r="D22" s="34" t="str">
        <x:v>审计日志字段定义</x:v>
      </x:c>
      <x:c r="E22" s="34" t="str">
        <x:v>验证谁看了什么、引用了什么</x:v>
      </x:c>
      <x:c r="F22" s="34" t="str">
        <x:v>InfoSec / GFIT</x:v>
      </x:c>
      <x:c r="G22" s="34" t="str">
        <x:v>日志平台</x:v>
      </x:c>
      <x:c r="H22" s="34" t="str">
        <x:v>PoC 全周期</x:v>
      </x:c>
      <x:c r="I22" s="34" t="str">
        <x:v>用户角色、查询、检索ID、文档ID、回答ID、动作、时间</x:v>
      </x:c>
      <x:c r="J22" s="34" t="str">
        <x:v>高</x:v>
      </x:c>
      <x:c r="K22" s="34" t="str">
        <x:v>不记录原始凭据和密钥</x:v>
      </x:c>
      <x:c r="L22" s="34" t="str">
        <x:v>未开始</x:v>
      </x:c>
      <x:c r="M22" s="34" t="str">
        <x:v>日志规范/API</x:v>
      </x:c>
      <x:c r="N22" s="34" t="str"/>
    </x:row>
    <x:row r="23" ht="58" customHeight="1">
      <x:c r="A23" s="34" t="str">
        <x:v>DR-018</x:v>
      </x:c>
      <x:c r="B23" s="34" t="str">
        <x:v>P2</x:v>
      </x:c>
      <x:c r="C23" s="34" t="str">
        <x:v>扩展数据</x:v>
      </x:c>
      <x:c r="D23" s="34" t="str">
        <x:v>设备传感器时序</x:v>
      </x:c>
      <x:c r="E23" s="34" t="str">
        <x:v>未来预测维护或深度诊断</x:v>
      </x:c>
      <x:c r="F23" s="34" t="str">
        <x:v>设备工程 / GFIT</x:v>
      </x:c>
      <x:c r="G23" s="34" t="str">
        <x:v>IIoT 平台</x:v>
      </x:c>
      <x:c r="H23" s="34" t="str">
        <x:v>暂不进入首轮 PoC</x:v>
      </x:c>
      <x:c r="I23" s="34" t="str">
        <x:v>设备、时间、传感器、单位、质量状态</x:v>
      </x:c>
      <x:c r="J23" s="34" t="str">
        <x:v>极高</x:v>
      </x:c>
      <x:c r="K23" s="34" t="str">
        <x:v>仅在扩展阶段申请</x:v>
      </x:c>
      <x:c r="L23" s="34" t="str">
        <x:v>不适用</x:v>
      </x:c>
      <x:c r="M23" s="34" t="str">
        <x:v>待定</x:v>
      </x:c>
      <x:c r="N23" s="34" t="str"/>
    </x:row>
    <x:row r="24" ht="58" customHeight="1">
      <x:c r="A24" s="34" t="str">
        <x:v>DR-019</x:v>
      </x:c>
      <x:c r="B24" s="34" t="str">
        <x:v>P2</x:v>
      </x:c>
      <x:c r="C24" s="34" t="str">
        <x:v>扩展数据</x:v>
      </x:c>
      <x:c r="D24" s="34" t="str">
        <x:v>图像/视频</x:v>
      </x:c>
      <x:c r="E24" s="34" t="str">
        <x:v>未来视觉缺陷场景</x:v>
      </x:c>
      <x:c r="F24" s="34" t="str">
        <x:v>质量/视觉检测团队</x:v>
      </x:c>
      <x:c r="G24" s="34" t="str">
        <x:v>图像平台</x:v>
      </x:c>
      <x:c r="H24" s="34" t="str">
        <x:v>暂不进入首轮 PoC</x:v>
      </x:c>
      <x:c r="I24" s="34" t="str">
        <x:v>图像ID、工序、标签、设备、时间、权限</x:v>
      </x:c>
      <x:c r="J24" s="34" t="str">
        <x:v>极高</x:v>
      </x:c>
      <x:c r="K24" s="34" t="str">
        <x:v>不在本 PoC 范围</x:v>
      </x:c>
      <x:c r="L24" s="34" t="str">
        <x:v>不适用</x:v>
      </x:c>
      <x:c r="M24" s="34" t="str">
        <x:v>待定</x:v>
      </x:c>
      <x:c r="N24" s="34" t="str"/>
    </x:row>
    <x:row r="25" ht="58" customHeight="1">
      <x:c r="A25" s="36" t="str">
        <x:v>DR-020</x:v>
      </x:c>
      <x:c r="B25" s="36" t="str">
        <x:v>P2</x:v>
      </x:c>
      <x:c r="C25" s="36" t="str">
        <x:v>扩展数据</x:v>
      </x:c>
      <x:c r="D25" s="36" t="str">
        <x:v>单盘完整测试轨迹</x:v>
      </x:c>
      <x:c r="E25" s="36" t="str">
        <x:v>仅当聚合数据无法支持时评估</x:v>
      </x:c>
      <x:c r="F25" s="36" t="str">
        <x:v>产品工程 / InfoSec</x:v>
      </x:c>
      <x:c r="G25" s="36" t="str">
        <x:v>测试数据仓库</x:v>
      </x:c>
      <x:c r="H25" s="36" t="str">
        <x:v>默认不申请</x:v>
      </x:c>
      <x:c r="I25" s="36" t="str">
        <x:v>序列号、全量步骤与参数</x:v>
      </x:c>
      <x:c r="J25" s="36" t="str">
        <x:v>极高</x:v>
      </x:c>
      <x:c r="K25" s="36" t="str">
        <x:v>需单独业务和安全论证</x:v>
      </x:c>
      <x:c r="L25" s="36" t="str">
        <x:v>不适用</x:v>
      </x:c>
      <x:c r="M25" s="36" t="str">
        <x:v>待定</x:v>
      </x:c>
      <x:c r="N25" s="36" t="str"/>
    </x:row>
  </x:sheetData>
  <x:mergeCells>
    <x:mergeCell ref="A1:N1"/>
    <x:mergeCell ref="A2:N2"/>
    <x:mergeCell ref="A4:N4"/>
  </x:mergeCells>
  <x:conditionalFormatting sqref="L6:L40">
    <x:cfRule type="containsText" dxfId="0" priority="1" operator="containsText" text="已确认"/>
    <x:cfRule type="containsText" dxfId="1" priority="2" operator="containsText" text="通过"/>
    <x:cfRule type="containsText" dxfId="2" priority="3" operator="containsText" text="阻塞"/>
    <x:cfRule type="containsText" dxfId="3" priority="4" operator="containsText" text="未通过"/>
    <x:cfRule type="containsText" dxfId="4" priority="5" operator="containsText" text="待审批"/>
  </x:conditionalFormatting>
  <x:conditionalFormatting sqref="B6:B40">
    <x:cfRule type="containsText" dxfId="5" priority="6" operator="containsText" text="P0"/>
    <x:cfRule type="containsText" dxfId="6" priority="7" operator="containsText" text="P1"/>
    <x:cfRule type="containsText" dxfId="7" priority="8" operator="containsText" text="P2"/>
  </x:conditionalFormatting>
  <x:dataValidations count="2">
    <x:dataValidation type="list" sqref="B6:B40">
      <x:formula1>"P0,P1,P2"</x:formula1>
    </x:dataValidation>
    <x:dataValidation type="list" sqref="L6:L40">
      <x:formula1>"未开始,盘点中,待审批,已确认,阻塞,不适用"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2" hidden="0" customWidth="1"/>
    <x:col min="5" max="5" width="22" hidden="0" customWidth="1"/>
    <x:col min="6" max="6" width="12" hidden="0" customWidth="1"/>
    <x:col min="7" max="7" width="9" hidden="0" customWidth="1"/>
    <x:col min="8" max="8" width="24" hidden="0" customWidth="1"/>
    <x:col min="9" max="9" width="36" hidden="0" customWidth="1"/>
    <x:col min="10" max="10" width="12" hidden="0" customWidth="1"/>
    <x:col min="11" max="11" width="30" hidden="0" customWidth="1"/>
  </x:cols>
  <x:sheetData>
    <x:row r="1" ht="34" customHeight="1">
      <x:c r="A1" s="3" t="str">
        <x:v>02｜字段映射</x:v>
      </x:c>
      <x:c r="B1" s="3" t="str">
        <x:v>02｜字段映射</x:v>
      </x:c>
      <x:c r="C1" s="3" t="str">
        <x:v>02｜字段映射</x:v>
      </x:c>
      <x:c r="D1" s="3" t="str">
        <x:v>02｜字段映射</x:v>
      </x:c>
      <x:c r="E1" s="3" t="str">
        <x:v>02｜字段映射</x:v>
      </x:c>
      <x:c r="F1" s="3" t="str">
        <x:v>02｜字段映射</x:v>
      </x:c>
      <x:c r="G1" s="3" t="str">
        <x:v>02｜字段映射</x:v>
      </x:c>
      <x:c r="H1" s="3" t="str">
        <x:v>02｜字段映射</x:v>
      </x:c>
      <x:c r="I1" s="3" t="str">
        <x:v>02｜字段映射</x:v>
      </x:c>
      <x:c r="J1" s="3" t="str">
        <x:v>02｜字段映射</x:v>
      </x:c>
      <x:c r="K1" s="3" t="str">
        <x:v>02｜字段映射</x:v>
      </x:c>
    </x:row>
    <x:row r="2" ht="34" customHeight="1">
      <x:c r="A2" s="7" t="str">
        <x:v>source_field、确认状态和备注由数据所有者填写。候选字段只用于讨论，不代表 SeaTrack 或其他内部系统的真实字段名。</x:v>
      </x:c>
      <x:c r="B2" s="7" t="str">
        <x:v>source_field、确认状态和备注由数据所有者填写。候选字段只用于讨论，不代表 SeaTrack 或其他内部系统的真实字段名。</x:v>
      </x:c>
      <x:c r="C2" s="7" t="str">
        <x:v>source_field、确认状态和备注由数据所有者填写。候选字段只用于讨论，不代表 SeaTrack 或其他内部系统的真实字段名。</x:v>
      </x:c>
      <x:c r="D2" s="7" t="str">
        <x:v>source_field、确认状态和备注由数据所有者填写。候选字段只用于讨论，不代表 SeaTrack 或其他内部系统的真实字段名。</x:v>
      </x:c>
      <x:c r="E2" s="7" t="str">
        <x:v>source_field、确认状态和备注由数据所有者填写。候选字段只用于讨论，不代表 SeaTrack 或其他内部系统的真实字段名。</x:v>
      </x:c>
      <x:c r="F2" s="7" t="str">
        <x:v>source_field、确认状态和备注由数据所有者填写。候选字段只用于讨论，不代表 SeaTrack 或其他内部系统的真实字段名。</x:v>
      </x:c>
      <x:c r="G2" s="7" t="str">
        <x:v>source_field、确认状态和备注由数据所有者填写。候选字段只用于讨论，不代表 SeaTrack 或其他内部系统的真实字段名。</x:v>
      </x:c>
      <x:c r="H2" s="7" t="str">
        <x:v>source_field、确认状态和备注由数据所有者填写。候选字段只用于讨论，不代表 SeaTrack 或其他内部系统的真实字段名。</x:v>
      </x:c>
      <x:c r="I2" s="7" t="str">
        <x:v>source_field、确认状态和备注由数据所有者填写。候选字段只用于讨论，不代表 SeaTrack 或其他内部系统的真实字段名。</x:v>
      </x:c>
      <x:c r="J2" s="7" t="str">
        <x:v>source_field、确认状态和备注由数据所有者填写。候选字段只用于讨论，不代表 SeaTrack 或其他内部系统的真实字段名。</x:v>
      </x:c>
      <x:c r="K2" s="7" t="str">
        <x:v>source_field、确认状态和备注由数据所有者填写。候选字段只用于讨论，不代表 SeaTrack 或其他内部系统的真实字段名。</x:v>
      </x:c>
    </x:row>
    <x:row r="5" ht="32" customHeight="1">
      <x:c r="A5" s="19" t="str">
        <x:v>域</x:v>
      </x:c>
      <x:c r="B5" s="20" t="str">
        <x:v>规范字段</x:v>
      </x:c>
      <x:c r="C5" s="20" t="str">
        <x:v>业务含义</x:v>
      </x:c>
      <x:c r="D5" s="20" t="str">
        <x:v>候选系统</x:v>
      </x:c>
      <x:c r="E5" s="20" t="str">
        <x:v>源字段（待填）</x:v>
      </x:c>
      <x:c r="F5" s="20" t="str">
        <x:v>类型</x:v>
      </x:c>
      <x:c r="G5" s="20" t="str">
        <x:v>必需</x:v>
      </x:c>
      <x:c r="H5" s="20" t="str">
        <x:v>合成示例</x:v>
      </x:c>
      <x:c r="I5" s="20" t="str">
        <x:v>质量规则</x:v>
      </x:c>
      <x:c r="J5" s="20" t="str">
        <x:v>确认状态</x:v>
      </x:c>
      <x:c r="K5" s="21" t="str">
        <x:v>负责人备注</x:v>
      </x:c>
    </x:row>
    <x:row r="6" ht="46" customHeight="1">
      <x:c r="A6" s="33" t="str">
        <x:v>调查</x:v>
      </x:c>
      <x:c r="B6" s="33" t="str">
        <x:v>investigation_id</x:v>
      </x:c>
      <x:c r="C6" s="33" t="str">
        <x:v>异常调查唯一编号</x:v>
      </x:c>
      <x:c r="D6" s="33" t="str">
        <x:v>问题管理/SeaTrack</x:v>
      </x:c>
      <x:c r="E6" s="33" t="str"/>
      <x:c r="F6" s="33" t="str">
        <x:v>string</x:v>
      </x:c>
      <x:c r="G6" s="33" t="str">
        <x:v>是</x:v>
      </x:c>
      <x:c r="H6" s="33" t="str">
        <x:v>INV-20260728-001</x:v>
      </x:c>
      <x:c r="I6" s="33" t="str">
        <x:v>全局唯一且不可复用</x:v>
      </x:c>
      <x:c r="J6" s="33" t="str">
        <x:v>待确认</x:v>
      </x:c>
      <x:c r="K6" s="33" t="str"/>
    </x:row>
    <x:row r="7" ht="46" customHeight="1">
      <x:c r="A7" s="34" t="str">
        <x:v>调查</x:v>
      </x:c>
      <x:c r="B7" s="34" t="str">
        <x:v>status</x:v>
      </x:c>
      <x:c r="C7" s="34" t="str">
        <x:v>调查状态</x:v>
      </x:c>
      <x:c r="D7" s="34" t="str">
        <x:v>问题管理/SeaTrack</x:v>
      </x:c>
      <x:c r="E7" s="34" t="str"/>
      <x:c r="F7" s="34" t="str">
        <x:v>enum</x:v>
      </x:c>
      <x:c r="G7" s="34" t="str">
        <x:v>是</x:v>
      </x:c>
      <x:c r="H7" s="34" t="str">
        <x:v>CLOSED</x:v>
      </x:c>
      <x:c r="I7" s="34" t="str">
        <x:v>必须区分草稿、调查中、确认、关闭</x:v>
      </x:c>
      <x:c r="J7" s="34" t="str">
        <x:v>待确认</x:v>
      </x:c>
      <x:c r="K7" s="34" t="str"/>
    </x:row>
    <x:row r="8" ht="46" customHeight="1">
      <x:c r="A8" s="34" t="str">
        <x:v>调查</x:v>
      </x:c>
      <x:c r="B8" s="34" t="str">
        <x:v>detected_at</x:v>
      </x:c>
      <x:c r="C8" s="34" t="str">
        <x:v>异常发现时间</x:v>
      </x:c>
      <x:c r="D8" s="34" t="str">
        <x:v>监控/SeaTrack</x:v>
      </x:c>
      <x:c r="E8" s="34" t="str"/>
      <x:c r="F8" s="34" t="str">
        <x:v>datetime</x:v>
      </x:c>
      <x:c r="G8" s="34" t="str">
        <x:v>是</x:v>
      </x:c>
      <x:c r="H8" s="34" t="str">
        <x:v>2026-07-28 14:20+08:00</x:v>
      </x:c>
      <x:c r="I8" s="34" t="str">
        <x:v>统一时区；不得晚于创建时间</x:v>
      </x:c>
      <x:c r="J8" s="34" t="str">
        <x:v>待确认</x:v>
      </x:c>
      <x:c r="K8" s="34" t="str"/>
    </x:row>
    <x:row r="9" ht="46" customHeight="1">
      <x:c r="A9" s="34" t="str">
        <x:v>调查</x:v>
      </x:c>
      <x:c r="B9" s="34" t="str">
        <x:v>closed_at</x:v>
      </x:c>
      <x:c r="C9" s="34" t="str">
        <x:v>调查关闭时间</x:v>
      </x:c>
      <x:c r="D9" s="34" t="str">
        <x:v>问题管理</x:v>
      </x:c>
      <x:c r="E9" s="34" t="str"/>
      <x:c r="F9" s="34" t="str">
        <x:v>datetime</x:v>
      </x:c>
      <x:c r="G9" s="34" t="str">
        <x:v>否</x:v>
      </x:c>
      <x:c r="H9" s="34" t="str">
        <x:v>2026-07-30 16:00+08:00</x:v>
      </x:c>
      <x:c r="I9" s="34" t="str">
        <x:v>关闭案例必填</x:v>
      </x:c>
      <x:c r="J9" s="34" t="str">
        <x:v>待确认</x:v>
      </x:c>
      <x:c r="K9" s="34" t="str"/>
    </x:row>
    <x:row r="10" ht="46" customHeight="1">
      <x:c r="A10" s="34" t="str">
        <x:v>产品</x:v>
      </x:c>
      <x:c r="B10" s="34" t="str">
        <x:v>product_id</x:v>
      </x:c>
      <x:c r="C10" s="34" t="str">
        <x:v>产品唯一标识</x:v>
      </x:c>
      <x:c r="D10" s="34" t="str">
        <x:v>PLM/MES</x:v>
      </x:c>
      <x:c r="E10" s="34" t="str"/>
      <x:c r="F10" s="34" t="str">
        <x:v>string</x:v>
      </x:c>
      <x:c r="G10" s="34" t="str">
        <x:v>是</x:v>
      </x:c>
      <x:c r="H10" s="34" t="str">
        <x:v>PRODUCT-A</x:v>
      </x:c>
      <x:c r="I10" s="34" t="str">
        <x:v>可脱敏但映射必须稳定</x:v>
      </x:c>
      <x:c r="J10" s="34" t="str">
        <x:v>待确认</x:v>
      </x:c>
      <x:c r="K10" s="34" t="str"/>
    </x:row>
    <x:row r="11" ht="46" customHeight="1">
      <x:c r="A11" s="34" t="str">
        <x:v>产品</x:v>
      </x:c>
      <x:c r="B11" s="34" t="str">
        <x:v>product_family</x:v>
      </x:c>
      <x:c r="C11" s="34" t="str">
        <x:v>产品族</x:v>
      </x:c>
      <x:c r="D11" s="34" t="str">
        <x:v>PLM/MES</x:v>
      </x:c>
      <x:c r="E11" s="34" t="str"/>
      <x:c r="F11" s="34" t="str">
        <x:v>string</x:v>
      </x:c>
      <x:c r="G11" s="34" t="str">
        <x:v>是</x:v>
      </x:c>
      <x:c r="H11" s="34" t="str">
        <x:v>HDD-X</x:v>
      </x:c>
      <x:c r="I11" s="34" t="str">
        <x:v>支持跨型号案例检索</x:v>
      </x:c>
      <x:c r="J11" s="34" t="str">
        <x:v>待确认</x:v>
      </x:c>
      <x:c r="K11" s="34" t="str"/>
    </x:row>
    <x:row r="12" ht="46" customHeight="1">
      <x:c r="A12" s="34" t="str">
        <x:v>制造</x:v>
      </x:c>
      <x:c r="B12" s="34" t="str">
        <x:v>line_id</x:v>
      </x:c>
      <x:c r="C12" s="34" t="str">
        <x:v>产线标识</x:v>
      </x:c>
      <x:c r="D12" s="34" t="str">
        <x:v>MES</x:v>
      </x:c>
      <x:c r="E12" s="34" t="str"/>
      <x:c r="F12" s="34" t="str">
        <x:v>string</x:v>
      </x:c>
      <x:c r="G12" s="34" t="str">
        <x:v>否</x:v>
      </x:c>
      <x:c r="H12" s="34" t="str">
        <x:v>LINE-02</x:v>
      </x:c>
      <x:c r="I12" s="34" t="str">
        <x:v>与站点主数据关联</x:v>
      </x:c>
      <x:c r="J12" s="34" t="str">
        <x:v>待确认</x:v>
      </x:c>
      <x:c r="K12" s="34" t="str"/>
    </x:row>
    <x:row r="13" ht="46" customHeight="1">
      <x:c r="A13" s="34" t="str">
        <x:v>制造</x:v>
      </x:c>
      <x:c r="B13" s="34" t="str">
        <x:v>station_id</x:v>
      </x:c>
      <x:c r="C13" s="34" t="str">
        <x:v>测试站标识</x:v>
      </x:c>
      <x:c r="D13" s="34" t="str">
        <x:v>MES</x:v>
      </x:c>
      <x:c r="E13" s="34" t="str"/>
      <x:c r="F13" s="34" t="str">
        <x:v>string</x:v>
      </x:c>
      <x:c r="G13" s="34" t="str">
        <x:v>是</x:v>
      </x:c>
      <x:c r="H13" s="34" t="str">
        <x:v>ST-04</x:v>
      </x:c>
      <x:c r="I13" s="34" t="str">
        <x:v>同一有效期内唯一</x:v>
      </x:c>
      <x:c r="J13" s="34" t="str">
        <x:v>待确认</x:v>
      </x:c>
      <x:c r="K13" s="34" t="str"/>
    </x:row>
    <x:row r="14" ht="46" customHeight="1">
      <x:c r="A14" s="34" t="str">
        <x:v>制造</x:v>
      </x:c>
      <x:c r="B14" s="34" t="str">
        <x:v>equipment_id</x:v>
      </x:c>
      <x:c r="C14" s="34" t="str">
        <x:v>设备标识</x:v>
      </x:c>
      <x:c r="D14" s="34" t="str">
        <x:v>MES/EAM</x:v>
      </x:c>
      <x:c r="E14" s="34" t="str"/>
      <x:c r="F14" s="34" t="str">
        <x:v>string</x:v>
      </x:c>
      <x:c r="G14" s="34" t="str">
        <x:v>否</x:v>
      </x:c>
      <x:c r="H14" s="34" t="str">
        <x:v>EQ-ST-004</x:v>
      </x:c>
      <x:c r="I14" s="34" t="str">
        <x:v>必须能关联校准/维护事件</x:v>
      </x:c>
      <x:c r="J14" s="34" t="str">
        <x:v>待确认</x:v>
      </x:c>
      <x:c r="K14" s="34" t="str"/>
    </x:row>
    <x:row r="15" ht="46" customHeight="1">
      <x:c r="A15" s="34" t="str">
        <x:v>测试</x:v>
      </x:c>
      <x:c r="B15" s="34" t="str">
        <x:v>test_stage</x:v>
      </x:c>
      <x:c r="C15" s="34" t="str">
        <x:v>测试阶段</x:v>
      </x:c>
      <x:c r="D15" s="34" t="str">
        <x:v>SeaTrack/测试定义库</x:v>
      </x:c>
      <x:c r="E15" s="34" t="str"/>
      <x:c r="F15" s="34" t="str">
        <x:v>string</x:v>
      </x:c>
      <x:c r="G15" s="34" t="str">
        <x:v>是</x:v>
      </x:c>
      <x:c r="H15" s="34" t="str">
        <x:v>SELFTEST_FINAL</x:v>
      </x:c>
      <x:c r="I15" s="34" t="str">
        <x:v>受控字典；包含同义词</x:v>
      </x:c>
      <x:c r="J15" s="34" t="str">
        <x:v>待确认</x:v>
      </x:c>
      <x:c r="K15" s="34" t="str"/>
    </x:row>
    <x:row r="16" ht="46" customHeight="1">
      <x:c r="A16" s="34" t="str">
        <x:v>测试</x:v>
      </x:c>
      <x:c r="B16" s="34" t="str">
        <x:v>failure_code</x:v>
      </x:c>
      <x:c r="C16" s="34" t="str">
        <x:v>失败代码/模式</x:v>
      </x:c>
      <x:c r="D16" s="34" t="str">
        <x:v>SeaTrack/测试定义库</x:v>
      </x:c>
      <x:c r="E16" s="34" t="str"/>
      <x:c r="F16" s="34" t="str">
        <x:v>string</x:v>
      </x:c>
      <x:c r="G16" s="34" t="str">
        <x:v>是</x:v>
      </x:c>
      <x:c r="H16" s="34" t="str">
        <x:v>F127（合成）</x:v>
      </x:c>
      <x:c r="I16" s="34" t="str">
        <x:v>代码含义必须绑定版本与适用范围</x:v>
      </x:c>
      <x:c r="J16" s="34" t="str">
        <x:v>待确认</x:v>
      </x:c>
      <x:c r="K16" s="34" t="str"/>
    </x:row>
    <x:row r="17" ht="46" customHeight="1">
      <x:c r="A17" s="34" t="str">
        <x:v>测试</x:v>
      </x:c>
      <x:c r="B17" s="34" t="str">
        <x:v>units_tested</x:v>
      </x:c>
      <x:c r="C17" s="34" t="str">
        <x:v>窗口内测试量</x:v>
      </x:c>
      <x:c r="D17" s="34" t="str">
        <x:v>测试仓库</x:v>
      </x:c>
      <x:c r="E17" s="34" t="str"/>
      <x:c r="F17" s="34" t="str">
        <x:v>integer</x:v>
      </x:c>
      <x:c r="G17" s="34" t="str">
        <x:v>是</x:v>
      </x:c>
      <x:c r="H17" s="34" t="str">
        <x:v>1200</x:v>
      </x:c>
      <x:c r="I17" s="34" t="str">
        <x:v>非负；与通过/失败量勾稽</x:v>
      </x:c>
      <x:c r="J17" s="34" t="str">
        <x:v>待确认</x:v>
      </x:c>
      <x:c r="K17" s="34" t="str"/>
    </x:row>
    <x:row r="18" ht="46" customHeight="1">
      <x:c r="A18" s="34" t="str">
        <x:v>测试</x:v>
      </x:c>
      <x:c r="B18" s="34" t="str">
        <x:v>units_passed</x:v>
      </x:c>
      <x:c r="C18" s="34" t="str">
        <x:v>窗口内通过量</x:v>
      </x:c>
      <x:c r="D18" s="34" t="str">
        <x:v>测试仓库</x:v>
      </x:c>
      <x:c r="E18" s="34" t="str"/>
      <x:c r="F18" s="34" t="str">
        <x:v>integer</x:v>
      </x:c>
      <x:c r="G18" s="34" t="str">
        <x:v>是</x:v>
      </x:c>
      <x:c r="H18" s="34" t="str">
        <x:v>1068</x:v>
      </x:c>
      <x:c r="I18" s="34" t="str">
        <x:v>通过量+失败量=测试量</x:v>
      </x:c>
      <x:c r="J18" s="34" t="str">
        <x:v>待确认</x:v>
      </x:c>
      <x:c r="K18" s="34" t="str"/>
    </x:row>
    <x:row r="19" ht="46" customHeight="1">
      <x:c r="A19" s="34" t="str">
        <x:v>测试</x:v>
      </x:c>
      <x:c r="B19" s="34" t="str">
        <x:v>units_failed</x:v>
      </x:c>
      <x:c r="C19" s="34" t="str">
        <x:v>窗口内失败量</x:v>
      </x:c>
      <x:c r="D19" s="34" t="str">
        <x:v>测试仓库</x:v>
      </x:c>
      <x:c r="E19" s="34" t="str"/>
      <x:c r="F19" s="34" t="str">
        <x:v>integer</x:v>
      </x:c>
      <x:c r="G19" s="34" t="str">
        <x:v>是</x:v>
      </x:c>
      <x:c r="H19" s="34" t="str">
        <x:v>132</x:v>
      </x:c>
      <x:c r="I19" s="34" t="str">
        <x:v>通过量+失败量=测试量</x:v>
      </x:c>
      <x:c r="J19" s="34" t="str">
        <x:v>待确认</x:v>
      </x:c>
      <x:c r="K19" s="34" t="str"/>
    </x:row>
    <x:row r="20" ht="46" customHeight="1">
      <x:c r="A20" s="34" t="str">
        <x:v>测试</x:v>
      </x:c>
      <x:c r="B20" s="34" t="str">
        <x:v>first_pass_yield</x:v>
      </x:c>
      <x:c r="C20" s="34" t="str">
        <x:v>首次通过率</x:v>
      </x:c>
      <x:c r="D20" s="34" t="str">
        <x:v>测试仓库</x:v>
      </x:c>
      <x:c r="E20" s="34" t="str"/>
      <x:c r="F20" s="34" t="str">
        <x:v>decimal</x:v>
      </x:c>
      <x:c r="G20" s="34" t="str">
        <x:v>是</x:v>
      </x:c>
      <x:c r="H20" s="34" t="str">
        <x:v>0.89</x:v>
      </x:c>
      <x:c r="I20" s="34" t="str">
        <x:v>0–1；定义与窗口一致</x:v>
      </x:c>
      <x:c r="J20" s="34" t="str">
        <x:v>待确认</x:v>
      </x:c>
      <x:c r="K20" s="34" t="str"/>
    </x:row>
    <x:row r="21" ht="46" customHeight="1">
      <x:c r="A21" s="34" t="str">
        <x:v>测试</x:v>
      </x:c>
      <x:c r="B21" s="34" t="str">
        <x:v>failure_count</x:v>
      </x:c>
      <x:c r="C21" s="34" t="str">
        <x:v>该失败代码发生数</x:v>
      </x:c>
      <x:c r="D21" s="34" t="str">
        <x:v>测试仓库</x:v>
      </x:c>
      <x:c r="E21" s="34" t="str"/>
      <x:c r="F21" s="34" t="str">
        <x:v>integer</x:v>
      </x:c>
      <x:c r="G21" s="34" t="str">
        <x:v>是</x:v>
      </x:c>
      <x:c r="H21" s="34" t="str">
        <x:v>96</x:v>
      </x:c>
      <x:c r="I21" s="34" t="str">
        <x:v>不大于失败量，除非明确定义为多事件</x:v>
      </x:c>
      <x:c r="J21" s="34" t="str">
        <x:v>待确认</x:v>
      </x:c>
      <x:c r="K21" s="34" t="str"/>
    </x:row>
    <x:row r="22" ht="46" customHeight="1">
      <x:c r="A22" s="34" t="str">
        <x:v>测试</x:v>
      </x:c>
      <x:c r="B22" s="34" t="str">
        <x:v>baseline_failure_rate</x:v>
      </x:c>
      <x:c r="C22" s="34" t="str">
        <x:v>基线失败率</x:v>
      </x:c>
      <x:c r="D22" s="34" t="str">
        <x:v>监控/分析平台</x:v>
      </x:c>
      <x:c r="E22" s="34" t="str"/>
      <x:c r="F22" s="34" t="str">
        <x:v>decimal</x:v>
      </x:c>
      <x:c r="G22" s="34" t="str">
        <x:v>否</x:v>
      </x:c>
      <x:c r="H22" s="34" t="str">
        <x:v>0.012</x:v>
      </x:c>
      <x:c r="I22" s="34" t="str">
        <x:v>说明基线窗口和分组维度</x:v>
      </x:c>
      <x:c r="J22" s="34" t="str">
        <x:v>待确认</x:v>
      </x:c>
      <x:c r="K22" s="34" t="str"/>
    </x:row>
    <x:row r="23" ht="46" customHeight="1">
      <x:c r="A23" s="34" t="str">
        <x:v>物料</x:v>
      </x:c>
      <x:c r="B23" s="34" t="str">
        <x:v>material_lot_id</x:v>
      </x:c>
      <x:c r="C23" s="34" t="str">
        <x:v>物料批次匿名标识</x:v>
      </x:c>
      <x:c r="D23" s="34" t="str">
        <x:v>MES/质量系统</x:v>
      </x:c>
      <x:c r="E23" s="34" t="str"/>
      <x:c r="F23" s="34" t="str">
        <x:v>string</x:v>
      </x:c>
      <x:c r="G23" s="34" t="str">
        <x:v>否</x:v>
      </x:c>
      <x:c r="H23" s="34" t="str">
        <x:v>LOT-A2407</x:v>
      </x:c>
      <x:c r="I23" s="34" t="str">
        <x:v>稳定映射，保留同批次关联</x:v>
      </x:c>
      <x:c r="J23" s="34" t="str">
        <x:v>待确认</x:v>
      </x:c>
      <x:c r="K23" s="34" t="str"/>
    </x:row>
    <x:row r="24" ht="46" customHeight="1">
      <x:c r="A24" s="34" t="str">
        <x:v>软件</x:v>
      </x:c>
      <x:c r="B24" s="34" t="str">
        <x:v>test_program_version</x:v>
      </x:c>
      <x:c r="C24" s="34" t="str">
        <x:v>测试程序版本</x:v>
      </x:c>
      <x:c r="D24" s="34" t="str">
        <x:v>发布系统/SeaTrack</x:v>
      </x:c>
      <x:c r="E24" s="34" t="str"/>
      <x:c r="F24" s="34" t="str">
        <x:v>string</x:v>
      </x:c>
      <x:c r="G24" s="34" t="str">
        <x:v>是</x:v>
      </x:c>
      <x:c r="H24" s="34" t="str">
        <x:v>TP-3.8</x:v>
      </x:c>
      <x:c r="I24" s="34" t="str">
        <x:v>绑定发布时间和适用产品</x:v>
      </x:c>
      <x:c r="J24" s="34" t="str">
        <x:v>待确认</x:v>
      </x:c>
      <x:c r="K24" s="34" t="str"/>
    </x:row>
    <x:row r="25" ht="46" customHeight="1">
      <x:c r="A25" s="34" t="str">
        <x:v>软件</x:v>
      </x:c>
      <x:c r="B25" s="34" t="str">
        <x:v>firmware_version</x:v>
      </x:c>
      <x:c r="C25" s="34" t="str">
        <x:v>固件版本</x:v>
      </x:c>
      <x:c r="D25" s="34" t="str">
        <x:v>发布系统/SeaTrack</x:v>
      </x:c>
      <x:c r="E25" s="34" t="str"/>
      <x:c r="F25" s="34" t="str">
        <x:v>string</x:v>
      </x:c>
      <x:c r="G25" s="34" t="str">
        <x:v>否</x:v>
      </x:c>
      <x:c r="H25" s="34" t="str">
        <x:v>FW-2.1.4</x:v>
      </x:c>
      <x:c r="I25" s="34" t="str">
        <x:v>绑定发布时间和适用产品</x:v>
      </x:c>
      <x:c r="J25" s="34" t="str">
        <x:v>待确认</x:v>
      </x:c>
      <x:c r="K25" s="34" t="str"/>
    </x:row>
    <x:row r="26" ht="46" customHeight="1">
      <x:c r="A26" s="34" t="str">
        <x:v>案例</x:v>
      </x:c>
      <x:c r="B26" s="34" t="str">
        <x:v>scope</x:v>
      </x:c>
      <x:c r="C26" s="34" t="str">
        <x:v>异常范围</x:v>
      </x:c>
      <x:c r="D26" s="34" t="str">
        <x:v>调查记录/派生</x:v>
      </x:c>
      <x:c r="E26" s="34" t="str"/>
      <x:c r="F26" s="34" t="str">
        <x:v>enum</x:v>
      </x:c>
      <x:c r="G26" s="34" t="str">
        <x:v>是</x:v>
      </x:c>
      <x:c r="H26" s="34" t="str">
        <x:v>SINGLE_STATION</x:v>
      </x:c>
      <x:c r="I26" s="34" t="str">
        <x:v>单站/多站/跨线/批次/版本等受控值</x:v>
      </x:c>
      <x:c r="J26" s="34" t="str">
        <x:v>待确认</x:v>
      </x:c>
      <x:c r="K26" s="34" t="str"/>
    </x:row>
    <x:row r="27" ht="46" customHeight="1">
      <x:c r="A27" s="34" t="str">
        <x:v>案例</x:v>
      </x:c>
      <x:c r="B27" s="34" t="str">
        <x:v>checks_performed</x:v>
      </x:c>
      <x:c r="C27" s="34" t="str">
        <x:v>已执行检查及结果</x:v>
      </x:c>
      <x:c r="D27" s="34" t="str">
        <x:v>问题管理/FA</x:v>
      </x:c>
      <x:c r="E27" s="34" t="str"/>
      <x:c r="F27" s="34" t="str">
        <x:v>array</x:v>
      </x:c>
      <x:c r="G27" s="34" t="str">
        <x:v>是</x:v>
      </x:c>
      <x:c r="H27" s="34" t="str">
        <x:v>比较其他站点分布</x:v>
      </x:c>
      <x:c r="I27" s="34" t="str">
        <x:v>每一步保留执行人角色和时间</x:v>
      </x:c>
      <x:c r="J27" s="34" t="str">
        <x:v>待确认</x:v>
      </x:c>
      <x:c r="K27" s="34" t="str"/>
    </x:row>
    <x:row r="28" ht="46" customHeight="1">
      <x:c r="A28" s="34" t="str">
        <x:v>案例</x:v>
      </x:c>
      <x:c r="B28" s="34" t="str">
        <x:v>excluded_causes</x:v>
      </x:c>
      <x:c r="C28" s="34" t="str">
        <x:v>已有证据排除的原因</x:v>
      </x:c>
      <x:c r="D28" s="34" t="str">
        <x:v>问题管理/FA</x:v>
      </x:c>
      <x:c r="E28" s="34" t="str"/>
      <x:c r="F28" s="34" t="str">
        <x:v>array</x:v>
      </x:c>
      <x:c r="G28" s="34" t="str">
        <x:v>否</x:v>
      </x:c>
      <x:c r="H28" s="34" t="str">
        <x:v>MATERIAL_LOT</x:v>
      </x:c>
      <x:c r="I28" s="34" t="str">
        <x:v>不得用无证据推测填充</x:v>
      </x:c>
      <x:c r="J28" s="34" t="str">
        <x:v>待确认</x:v>
      </x:c>
      <x:c r="K28" s="34" t="str"/>
    </x:row>
    <x:row r="29" ht="46" customHeight="1">
      <x:c r="A29" s="34" t="str">
        <x:v>案例</x:v>
      </x:c>
      <x:c r="B29" s="34" t="str">
        <x:v>root_cause_category</x:v>
      </x:c>
      <x:c r="C29" s="34" t="str">
        <x:v>根因类别</x:v>
      </x:c>
      <x:c r="D29" s="34" t="str">
        <x:v>FA/问题管理</x:v>
      </x:c>
      <x:c r="E29" s="34" t="str"/>
      <x:c r="F29" s="34" t="str">
        <x:v>enum</x:v>
      </x:c>
      <x:c r="G29" s="34" t="str">
        <x:v>否</x:v>
      </x:c>
      <x:c r="H29" s="34" t="str">
        <x:v>EQUIPMENT</x:v>
      </x:c>
      <x:c r="I29" s="34" t="str">
        <x:v>仅关闭且审核通过的案例可标确认</x:v>
      </x:c>
      <x:c r="J29" s="34" t="str">
        <x:v>待确认</x:v>
      </x:c>
      <x:c r="K29" s="34" t="str"/>
    </x:row>
    <x:row r="30" ht="46" customHeight="1">
      <x:c r="A30" s="34" t="str">
        <x:v>案例</x:v>
      </x:c>
      <x:c r="B30" s="34" t="str">
        <x:v>confirmed_root_cause</x:v>
      </x:c>
      <x:c r="C30" s="34" t="str">
        <x:v>确认根因摘要</x:v>
      </x:c>
      <x:c r="D30" s="34" t="str">
        <x:v>FA/问题管理</x:v>
      </x:c>
      <x:c r="E30" s="34" t="str"/>
      <x:c r="F30" s="34" t="str">
        <x:v>text</x:v>
      </x:c>
      <x:c r="G30" s="34" t="str">
        <x:v>否</x:v>
      </x:c>
      <x:c r="H30" s="34" t="str">
        <x:v>校准漂移（合成）</x:v>
      </x:c>
      <x:c r="I30" s="34" t="str">
        <x:v>必须带批准状态和证据</x:v>
      </x:c>
      <x:c r="J30" s="34" t="str">
        <x:v>待确认</x:v>
      </x:c>
      <x:c r="K30" s="34" t="str"/>
    </x:row>
    <x:row r="31" ht="46" customHeight="1">
      <x:c r="A31" s="34" t="str">
        <x:v>案例</x:v>
      </x:c>
      <x:c r="B31" s="34" t="str">
        <x:v>validation_result</x:v>
      </x:c>
      <x:c r="C31" s="34" t="str">
        <x:v>措施验证结果</x:v>
      </x:c>
      <x:c r="D31" s="34" t="str">
        <x:v>FA/问题管理</x:v>
      </x:c>
      <x:c r="E31" s="34" t="str"/>
      <x:c r="F31" s="34" t="str">
        <x:v>text</x:v>
      </x:c>
      <x:c r="G31" s="34" t="str">
        <x:v>否</x:v>
      </x:c>
      <x:c r="H31" s="34" t="str">
        <x:v>连续三个窗口回到基线</x:v>
      </x:c>
      <x:c r="I31" s="34" t="str">
        <x:v>说明观察窗口和判定标准</x:v>
      </x:c>
      <x:c r="J31" s="34" t="str">
        <x:v>待确认</x:v>
      </x:c>
      <x:c r="K31" s="34" t="str"/>
    </x:row>
    <x:row r="32" ht="46" customHeight="1">
      <x:c r="A32" s="34" t="str">
        <x:v>文档</x:v>
      </x:c>
      <x:c r="B32" s="34" t="str">
        <x:v>document_id</x:v>
      </x:c>
      <x:c r="C32" s="34" t="str">
        <x:v>权威文档编号</x:v>
      </x:c>
      <x:c r="D32" s="34" t="str">
        <x:v>DMS</x:v>
      </x:c>
      <x:c r="E32" s="34" t="str"/>
      <x:c r="F32" s="34" t="str">
        <x:v>string</x:v>
      </x:c>
      <x:c r="G32" s="34" t="str">
        <x:v>是</x:v>
      </x:c>
      <x:c r="H32" s="34" t="str">
        <x:v>DOC-OCAP-001</x:v>
      </x:c>
      <x:c r="I32" s="34" t="str">
        <x:v>全局唯一</x:v>
      </x:c>
      <x:c r="J32" s="34" t="str">
        <x:v>待确认</x:v>
      </x:c>
      <x:c r="K32" s="34" t="str"/>
    </x:row>
    <x:row r="33" ht="46" customHeight="1">
      <x:c r="A33" s="34" t="str">
        <x:v>文档</x:v>
      </x:c>
      <x:c r="B33" s="34" t="str">
        <x:v>version</x:v>
      </x:c>
      <x:c r="C33" s="34" t="str">
        <x:v>文档版本</x:v>
      </x:c>
      <x:c r="D33" s="34" t="str">
        <x:v>DMS</x:v>
      </x:c>
      <x:c r="E33" s="34" t="str"/>
      <x:c r="F33" s="34" t="str">
        <x:v>string</x:v>
      </x:c>
      <x:c r="G33" s="34" t="str">
        <x:v>是</x:v>
      </x:c>
      <x:c r="H33" s="34" t="str">
        <x:v>3.2</x:v>
      </x:c>
      <x:c r="I33" s="34" t="str">
        <x:v>能判断替代关系</x:v>
      </x:c>
      <x:c r="J33" s="34" t="str">
        <x:v>待确认</x:v>
      </x:c>
      <x:c r="K33" s="34" t="str"/>
    </x:row>
    <x:row r="34" ht="46" customHeight="1">
      <x:c r="A34" s="34" t="str">
        <x:v>文档</x:v>
      </x:c>
      <x:c r="B34" s="34" t="str">
        <x:v>effective_from/to</x:v>
      </x:c>
      <x:c r="C34" s="34" t="str">
        <x:v>生效/失效时间</x:v>
      </x:c>
      <x:c r="D34" s="34" t="str">
        <x:v>DMS</x:v>
      </x:c>
      <x:c r="E34" s="34" t="str"/>
      <x:c r="F34" s="34" t="str">
        <x:v>datetime</x:v>
      </x:c>
      <x:c r="G34" s="34" t="str">
        <x:v>是</x:v>
      </x:c>
      <x:c r="H34" s="34" t="str">
        <x:v>2026-01-01 / 空</x:v>
      </x:c>
      <x:c r="I34" s="34" t="str">
        <x:v>回答时按调查时间过滤</x:v>
      </x:c>
      <x:c r="J34" s="34" t="str">
        <x:v>待确认</x:v>
      </x:c>
      <x:c r="K34" s="34" t="str"/>
    </x:row>
    <x:row r="35" ht="46" customHeight="1">
      <x:c r="A35" s="36" t="str">
        <x:v>文档</x:v>
      </x:c>
      <x:c r="B35" s="36" t="str">
        <x:v>allowed_roles</x:v>
      </x:c>
      <x:c r="C35" s="36" t="str">
        <x:v>允许访问角色</x:v>
      </x:c>
      <x:c r="D35" s="36" t="str">
        <x:v>DMS/IAM</x:v>
      </x:c>
      <x:c r="E35" s="36" t="str"/>
      <x:c r="F35" s="36" t="str">
        <x:v>array</x:v>
      </x:c>
      <x:c r="G35" s="36" t="str">
        <x:v>是</x:v>
      </x:c>
      <x:c r="H35" s="36" t="str">
        <x:v>PRODUCT_ENGINEER</x:v>
      </x:c>
      <x:c r="I35" s="36" t="str">
        <x:v>检索权限不得超出源系统</x:v>
      </x:c>
      <x:c r="J35" s="36" t="str">
        <x:v>待确认</x:v>
      </x:c>
      <x:c r="K35" s="36" t="str"/>
    </x:row>
  </x:sheetData>
  <x:mergeCells>
    <x:mergeCell ref="A1:K1"/>
    <x:mergeCell ref="A2:K2"/>
  </x:mergeCells>
  <x:conditionalFormatting sqref="J6:J60">
    <x:cfRule type="containsText" dxfId="8" priority="1" operator="containsText" text="已确认"/>
    <x:cfRule type="containsText" dxfId="9" priority="2" operator="containsText" text="通过"/>
    <x:cfRule type="containsText" dxfId="10" priority="3" operator="containsText" text="阻塞"/>
    <x:cfRule type="containsText" dxfId="11" priority="4" operator="containsText" text="未通过"/>
    <x:cfRule type="containsText" dxfId="12" priority="5" operator="containsText" text="待审批"/>
  </x:conditionalFormatting>
  <x:dataValidations count="1">
    <x:dataValidation type="list" sqref="J6:J60">
      <x:formula1>"待确认,已映射,缺失,不适用,阻塞"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2" hidden="0" customWidth="1"/>
    <x:col min="5" max="5" width="20" hidden="0" customWidth="1"/>
    <x:col min="6" max="6" width="10" hidden="0" customWidth="1"/>
    <x:col min="7" max="7" width="12" hidden="0" customWidth="1"/>
    <x:col min="8" max="8" width="14" hidden="0" customWidth="1"/>
    <x:col min="9" max="9" width="16" hidden="0" customWidth="1"/>
    <x:col min="10" max="10" width="26" hidden="0" customWidth="1"/>
    <x:col min="11" max="11" width="20" hidden="0" customWidth="1"/>
    <x:col min="12" max="12" width="12" hidden="0" customWidth="1"/>
    <x:col min="13" max="13" width="32" hidden="0" customWidth="1"/>
  </x:cols>
  <x:sheetData>
    <x:row r="1" ht="34" customHeight="1">
      <x:c r="A1" s="3" t="str">
        <x:v>03｜文档盘点</x:v>
      </x:c>
      <x:c r="B1" s="3" t="str">
        <x:v>03｜文档盘点</x:v>
      </x:c>
      <x:c r="C1" s="3" t="str">
        <x:v>03｜文档盘点</x:v>
      </x:c>
      <x:c r="D1" s="3" t="str">
        <x:v>03｜文档盘点</x:v>
      </x:c>
      <x:c r="E1" s="3" t="str">
        <x:v>03｜文档盘点</x:v>
      </x:c>
      <x:c r="F1" s="3" t="str">
        <x:v>03｜文档盘点</x:v>
      </x:c>
      <x:c r="G1" s="3" t="str">
        <x:v>03｜文档盘点</x:v>
      </x:c>
      <x:c r="H1" s="3" t="str">
        <x:v>03｜文档盘点</x:v>
      </x:c>
      <x:c r="I1" s="3" t="str">
        <x:v>03｜文档盘点</x:v>
      </x:c>
      <x:c r="J1" s="3" t="str">
        <x:v>03｜文档盘点</x:v>
      </x:c>
      <x:c r="K1" s="3" t="str">
        <x:v>03｜文档盘点</x:v>
      </x:c>
      <x:c r="L1" s="3" t="str">
        <x:v>03｜文档盘点</x:v>
      </x:c>
      <x:c r="M1" s="3" t="str">
        <x:v>03｜文档盘点</x:v>
      </x:c>
    </x:row>
    <x:row r="2" ht="34" customHeight="1">
      <x:c r="A2" s="7" t="str">
        <x:v>只把权威、可判断版本和适用范围的内容作为正式证据；聊天和交接记录默认只作线索，除非数据治理明确批准。</x:v>
      </x:c>
      <x:c r="B2" s="7" t="str">
        <x:v>只把权威、可判断版本和适用范围的内容作为正式证据；聊天和交接记录默认只作线索，除非数据治理明确批准。</x:v>
      </x:c>
      <x:c r="C2" s="7" t="str">
        <x:v>只把权威、可判断版本和适用范围的内容作为正式证据；聊天和交接记录默认只作线索，除非数据治理明确批准。</x:v>
      </x:c>
      <x:c r="D2" s="7" t="str">
        <x:v>只把权威、可判断版本和适用范围的内容作为正式证据；聊天和交接记录默认只作线索，除非数据治理明确批准。</x:v>
      </x:c>
      <x:c r="E2" s="7" t="str">
        <x:v>只把权威、可判断版本和适用范围的内容作为正式证据；聊天和交接记录默认只作线索，除非数据治理明确批准。</x:v>
      </x:c>
      <x:c r="F2" s="7" t="str">
        <x:v>只把权威、可判断版本和适用范围的内容作为正式证据；聊天和交接记录默认只作线索，除非数据治理明确批准。</x:v>
      </x:c>
      <x:c r="G2" s="7" t="str">
        <x:v>只把权威、可判断版本和适用范围的内容作为正式证据；聊天和交接记录默认只作线索，除非数据治理明确批准。</x:v>
      </x:c>
      <x:c r="H2" s="7" t="str">
        <x:v>只把权威、可判断版本和适用范围的内容作为正式证据；聊天和交接记录默认只作线索，除非数据治理明确批准。</x:v>
      </x:c>
      <x:c r="I2" s="7" t="str">
        <x:v>只把权威、可判断版本和适用范围的内容作为正式证据；聊天和交接记录默认只作线索，除非数据治理明确批准。</x:v>
      </x:c>
      <x:c r="J2" s="7" t="str">
        <x:v>只把权威、可判断版本和适用范围的内容作为正式证据；聊天和交接记录默认只作线索，除非数据治理明确批准。</x:v>
      </x:c>
      <x:c r="K2" s="7" t="str">
        <x:v>只把权威、可判断版本和适用范围的内容作为正式证据；聊天和交接记录默认只作线索，除非数据治理明确批准。</x:v>
      </x:c>
      <x:c r="L2" s="7" t="str">
        <x:v>只把权威、可判断版本和适用范围的内容作为正式证据；聊天和交接记录默认只作线索，除非数据治理明确批准。</x:v>
      </x:c>
      <x:c r="M2" s="7" t="str">
        <x:v>只把权威、可判断版本和适用范围的内容作为正式证据；聊天和交接记录默认只作线索，除非数据治理明确批准。</x:v>
      </x:c>
    </x:row>
    <x:row r="5" ht="32" customHeight="1">
      <x:c r="A5" s="19" t="str">
        <x:v>DOC-ID</x:v>
      </x:c>
      <x:c r="B5" s="20" t="str">
        <x:v>文档类型</x:v>
      </x:c>
      <x:c r="C5" s="20" t="str">
        <x:v>文档名称/主题</x:v>
      </x:c>
      <x:c r="D5" s="20" t="str">
        <x:v>权威源</x:v>
      </x:c>
      <x:c r="E5" s="20" t="str">
        <x:v>所有者</x:v>
      </x:c>
      <x:c r="F5" s="20" t="str">
        <x:v>版本</x:v>
      </x:c>
      <x:c r="G5" s="20" t="str">
        <x:v>状态</x:v>
      </x:c>
      <x:c r="H5" s="20" t="str">
        <x:v>生效日期</x:v>
      </x:c>
      <x:c r="I5" s="20" t="str">
        <x:v>失效/替代日期</x:v>
      </x:c>
      <x:c r="J5" s="20" t="str">
        <x:v>适用范围</x:v>
      </x:c>
      <x:c r="K5" s="20" t="str">
        <x:v>密级/角色</x:v>
      </x:c>
      <x:c r="L5" s="20" t="str">
        <x:v>样本状态</x:v>
      </x:c>
      <x:c r="M5" s="21" t="str">
        <x:v>备注/链接</x:v>
      </x:c>
    </x:row>
    <x:row r="6" ht="44" customHeight="1">
      <x:c r="A6" s="33" t="str">
        <x:v>KD-001</x:v>
      </x:c>
      <x:c r="B6" s="33" t="str">
        <x:v>Failure Code 定义</x:v>
      </x:c>
      <x:c r="C6" s="33" t="str">
        <x:v>PoC 失败代码与测试阶段定义</x:v>
      </x:c>
      <x:c r="D6" s="33" t="str">
        <x:v>测试定义库</x:v>
      </x:c>
      <x:c r="E6" s="33" t="str">
        <x:v>产品/测试工程</x:v>
      </x:c>
      <x:c r="F6" s="33" t="str"/>
      <x:c r="G6" s="33" t="str">
        <x:v>待确认</x:v>
      </x:c>
      <x:c r="H6" s="33" t="str"/>
      <x:c r="I6" s="33" t="str"/>
      <x:c r="J6" s="33" t="str">
        <x:v>产品/阶段/程序版本</x:v>
      </x:c>
      <x:c r="K6" s="33" t="str">
        <x:v>高/工程角色</x:v>
      </x:c>
      <x:c r="L6" s="33" t="str">
        <x:v>未开始</x:v>
      </x:c>
      <x:c r="M6" s="33" t="str"/>
    </x:row>
    <x:row r="7" ht="44" customHeight="1">
      <x:c r="A7" s="34" t="str">
        <x:v>KD-002</x:v>
      </x:c>
      <x:c r="B7" s="34" t="str">
        <x:v>SOP</x:v>
      </x:c>
      <x:c r="C7" s="34" t="str">
        <x:v>测试异常基础检查流程</x:v>
      </x:c>
      <x:c r="D7" s="34" t="str">
        <x:v>DMS</x:v>
      </x:c>
      <x:c r="E7" s="34" t="str">
        <x:v>工艺/质量文控</x:v>
      </x:c>
      <x:c r="F7" s="34" t="str"/>
      <x:c r="G7" s="34" t="str">
        <x:v>待确认</x:v>
      </x:c>
      <x:c r="H7" s="34" t="str"/>
      <x:c r="I7" s="34" t="str"/>
      <x:c r="J7" s="34" t="str">
        <x:v>产品/阶段/站点</x:v>
      </x:c>
      <x:c r="K7" s="34" t="str">
        <x:v>高/授权角色</x:v>
      </x:c>
      <x:c r="L7" s="34" t="str">
        <x:v>未开始</x:v>
      </x:c>
      <x:c r="M7" s="34" t="str"/>
    </x:row>
    <x:row r="8" ht="44" customHeight="1">
      <x:c r="A8" s="34" t="str">
        <x:v>KD-003</x:v>
      </x:c>
      <x:c r="B8" s="34" t="str">
        <x:v>OCAP</x:v>
      </x:c>
      <x:c r="C8" s="34" t="str">
        <x:v>良率或失败率异常响应</x:v>
      </x:c>
      <x:c r="D8" s="34" t="str">
        <x:v>DMS</x:v>
      </x:c>
      <x:c r="E8" s="34" t="str">
        <x:v>质量/产品工程</x:v>
      </x:c>
      <x:c r="F8" s="34" t="str"/>
      <x:c r="G8" s="34" t="str">
        <x:v>待确认</x:v>
      </x:c>
      <x:c r="H8" s="34" t="str"/>
      <x:c r="I8" s="34" t="str"/>
      <x:c r="J8" s="34" t="str">
        <x:v>异常类型/严重度</x:v>
      </x:c>
      <x:c r="K8" s="34" t="str">
        <x:v>高/授权角色</x:v>
      </x:c>
      <x:c r="L8" s="34" t="str">
        <x:v>未开始</x:v>
      </x:c>
      <x:c r="M8" s="34" t="str"/>
    </x:row>
    <x:row r="9" ht="44" customHeight="1">
      <x:c r="A9" s="34" t="str">
        <x:v>KD-004</x:v>
      </x:c>
      <x:c r="B9" s="34" t="str">
        <x:v>FA 报告</x:v>
      </x:c>
      <x:c r="C9" s="34" t="str">
        <x:v>已关闭问题失效分析</x:v>
      </x:c>
      <x:c r="D9" s="34" t="str">
        <x:v>FA 库</x:v>
      </x:c>
      <x:c r="E9" s="34" t="str">
        <x:v>质量/FA</x:v>
      </x:c>
      <x:c r="F9" s="34" t="str"/>
      <x:c r="G9" s="34" t="str">
        <x:v>待确认</x:v>
      </x:c>
      <x:c r="H9" s="34" t="str"/>
      <x:c r="I9" s="34" t="str"/>
      <x:c r="J9" s="34" t="str">
        <x:v>产品/失败模式</x:v>
      </x:c>
      <x:c r="K9" s="34" t="str">
        <x:v>高/受限角色</x:v>
      </x:c>
      <x:c r="L9" s="34" t="str">
        <x:v>未开始</x:v>
      </x:c>
      <x:c r="M9" s="34" t="str"/>
    </x:row>
    <x:row r="10" ht="44" customHeight="1">
      <x:c r="A10" s="34" t="str">
        <x:v>KD-005</x:v>
      </x:c>
      <x:c r="B10" s="34" t="str">
        <x:v>8D/关闭报告</x:v>
      </x:c>
      <x:c r="C10" s="34" t="str">
        <x:v>已关闭问题与验证结果</x:v>
      </x:c>
      <x:c r="D10" s="34" t="str">
        <x:v>问题管理</x:v>
      </x:c>
      <x:c r="E10" s="34" t="str">
        <x:v>质量/业务负责人</x:v>
      </x:c>
      <x:c r="F10" s="34" t="str"/>
      <x:c r="G10" s="34" t="str">
        <x:v>待确认</x:v>
      </x:c>
      <x:c r="H10" s="34" t="str"/>
      <x:c r="I10" s="34" t="str"/>
      <x:c r="J10" s="34" t="str">
        <x:v>产品/问题类型</x:v>
      </x:c>
      <x:c r="K10" s="34" t="str">
        <x:v>高/工程角色</x:v>
      </x:c>
      <x:c r="L10" s="34" t="str">
        <x:v>未开始</x:v>
      </x:c>
      <x:c r="M10" s="34" t="str"/>
    </x:row>
    <x:row r="11" ht="44" customHeight="1">
      <x:c r="A11" s="34" t="str">
        <x:v>KD-006</x:v>
      </x:c>
      <x:c r="B11" s="34" t="str">
        <x:v>变更记录</x:v>
      </x:c>
      <x:c r="C11" s="34" t="str">
        <x:v>测试程序发布和回退</x:v>
      </x:c>
      <x:c r="D11" s="34" t="str">
        <x:v>变更系统</x:v>
      </x:c>
      <x:c r="E11" s="34" t="str">
        <x:v>测试工程/CCB</x:v>
      </x:c>
      <x:c r="F11" s="34" t="str"/>
      <x:c r="G11" s="34" t="str">
        <x:v>待确认</x:v>
      </x:c>
      <x:c r="H11" s="34" t="str"/>
      <x:c r="I11" s="34" t="str"/>
      <x:c r="J11" s="34" t="str">
        <x:v>产品/版本/站点</x:v>
      </x:c>
      <x:c r="K11" s="34" t="str">
        <x:v>高/工程角色</x:v>
      </x:c>
      <x:c r="L11" s="34" t="str">
        <x:v>未开始</x:v>
      </x:c>
      <x:c r="M11" s="34" t="str"/>
    </x:row>
    <x:row r="12" ht="44" customHeight="1">
      <x:c r="A12" s="34" t="str">
        <x:v>KD-007</x:v>
      </x:c>
      <x:c r="B12" s="34" t="str">
        <x:v>变更记录</x:v>
      </x:c>
      <x:c r="C12" s="34" t="str">
        <x:v>固件或产品配置变更</x:v>
      </x:c>
      <x:c r="D12" s="34" t="str">
        <x:v>PLM/变更系统</x:v>
      </x:c>
      <x:c r="E12" s="34" t="str">
        <x:v>固件/产品工程</x:v>
      </x:c>
      <x:c r="F12" s="34" t="str"/>
      <x:c r="G12" s="34" t="str">
        <x:v>待确认</x:v>
      </x:c>
      <x:c r="H12" s="34" t="str"/>
      <x:c r="I12" s="34" t="str"/>
      <x:c r="J12" s="34" t="str">
        <x:v>产品/固件版本</x:v>
      </x:c>
      <x:c r="K12" s="34" t="str">
        <x:v>高/受限角色</x:v>
      </x:c>
      <x:c r="L12" s="34" t="str">
        <x:v>未开始</x:v>
      </x:c>
      <x:c r="M12" s="34" t="str"/>
    </x:row>
    <x:row r="13" ht="44" customHeight="1">
      <x:c r="A13" s="34" t="str">
        <x:v>KD-008</x:v>
      </x:c>
      <x:c r="B13" s="34" t="str">
        <x:v>设备流程</x:v>
      </x:c>
      <x:c r="C13" s="34" t="str">
        <x:v>校准、维护与验证流程</x:v>
      </x:c>
      <x:c r="D13" s="34" t="str">
        <x:v>EAM/DMS</x:v>
      </x:c>
      <x:c r="E13" s="34" t="str">
        <x:v>设备工程</x:v>
      </x:c>
      <x:c r="F13" s="34" t="str"/>
      <x:c r="G13" s="34" t="str">
        <x:v>待确认</x:v>
      </x:c>
      <x:c r="H13" s="34" t="str"/>
      <x:c r="I13" s="34" t="str"/>
      <x:c r="J13" s="34" t="str">
        <x:v>设备类型/站点</x:v>
      </x:c>
      <x:c r="K13" s="34" t="str">
        <x:v>高/设备角色</x:v>
      </x:c>
      <x:c r="L13" s="34" t="str">
        <x:v>未开始</x:v>
      </x:c>
      <x:c r="M13" s="34" t="str"/>
    </x:row>
    <x:row r="14" ht="44" customHeight="1">
      <x:c r="A14" s="34" t="str">
        <x:v>KD-009</x:v>
      </x:c>
      <x:c r="B14" s="34" t="str">
        <x:v>升级路径</x:v>
      </x:c>
      <x:c r="C14" s="34" t="str">
        <x:v>异常责任与升级规则</x:v>
      </x:c>
      <x:c r="D14" s="34" t="str">
        <x:v>DMS</x:v>
      </x:c>
      <x:c r="E14" s="34" t="str">
        <x:v>业务负责人</x:v>
      </x:c>
      <x:c r="F14" s="34" t="str"/>
      <x:c r="G14" s="34" t="str">
        <x:v>待确认</x:v>
      </x:c>
      <x:c r="H14" s="34" t="str"/>
      <x:c r="I14" s="34" t="str"/>
      <x:c r="J14" s="34" t="str">
        <x:v>严重度/团队</x:v>
      </x:c>
      <x:c r="K14" s="34" t="str">
        <x:v>中/内部角色</x:v>
      </x:c>
      <x:c r="L14" s="34" t="str">
        <x:v>未开始</x:v>
      </x:c>
      <x:c r="M14" s="34" t="str"/>
    </x:row>
    <x:row r="15" ht="44" customHeight="1">
      <x:c r="A15" s="36" t="str">
        <x:v>KD-010</x:v>
      </x:c>
      <x:c r="B15" s="36" t="str">
        <x:v>交接记录</x:v>
      </x:c>
      <x:c r="C15" s="36" t="str">
        <x:v>班次 Passdown</x:v>
      </x:c>
      <x:c r="D15" s="36" t="str">
        <x:v>协作平台</x:v>
      </x:c>
      <x:c r="E15" s="36" t="str">
        <x:v>制造/工程班组</x:v>
      </x:c>
      <x:c r="F15" s="36" t="str"/>
      <x:c r="G15" s="36" t="str">
        <x:v>待确认</x:v>
      </x:c>
      <x:c r="H15" s="36" t="str"/>
      <x:c r="I15" s="36" t="str"/>
      <x:c r="J15" s="36" t="str">
        <x:v>区域/时间</x:v>
      </x:c>
      <x:c r="K15" s="36" t="str">
        <x:v>高/需单独批准</x:v>
      </x:c>
      <x:c r="L15" s="36" t="str">
        <x:v>不适用</x:v>
      </x:c>
      <x:c r="M15" s="36" t="str">
        <x:v>默认不进入正式证据</x:v>
      </x:c>
    </x:row>
  </x:sheetData>
  <x:mergeCells>
    <x:mergeCell ref="A1:M1"/>
    <x:mergeCell ref="A2:M2"/>
  </x:mergeCells>
  <x:conditionalFormatting sqref="L6:L40">
    <x:cfRule type="containsText" dxfId="13" priority="1" operator="containsText" text="已确认"/>
    <x:cfRule type="containsText" dxfId="14" priority="2" operator="containsText" text="通过"/>
    <x:cfRule type="containsText" dxfId="15" priority="3" operator="containsText" text="阻塞"/>
    <x:cfRule type="containsText" dxfId="16" priority="4" operator="containsText" text="未通过"/>
    <x:cfRule type="containsText" dxfId="17" priority="5" operator="containsText" text="待审批"/>
  </x:conditionalFormatting>
  <x:dataValidations count="2">
    <x:dataValidation type="list" sqref="G6:G40">
      <x:formula1>"草稿,有效,已替代,已退休,待确认"</x:formula1>
    </x:dataValidation>
    <x:dataValidation type="list" sqref="L6:L40">
      <x:formula1>"未开始,盘点中,待审批,已确认,阻塞,不适用"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28" hidden="0" customWidth="1"/>
    <x:col min="8" max="8" width="16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6" hidden="0" customWidth="1"/>
  </x:cols>
  <x:sheetData>
    <x:row r="1" ht="34" customHeight="1">
      <x:c r="A1" s="3" t="str">
        <x:v>04｜历史案例抽样与盲测分组</x:v>
      </x:c>
      <x:c r="B1" s="3" t="str">
        <x:v>04｜历史案例抽样与盲测分组</x:v>
      </x:c>
      <x:c r="C1" s="3" t="str">
        <x:v>04｜历史案例抽样与盲测分组</x:v>
      </x:c>
      <x:c r="D1" s="3" t="str">
        <x:v>04｜历史案例抽样与盲测分组</x:v>
      </x:c>
      <x:c r="E1" s="3" t="str">
        <x:v>04｜历史案例抽样与盲测分组</x:v>
      </x:c>
      <x:c r="F1" s="3" t="str">
        <x:v>04｜历史案例抽样与盲测分组</x:v>
      </x:c>
      <x:c r="G1" s="3" t="str">
        <x:v>04｜历史案例抽样与盲测分组</x:v>
      </x:c>
      <x:c r="H1" s="3" t="str">
        <x:v>04｜历史案例抽样与盲测分组</x:v>
      </x:c>
      <x:c r="I1" s="3" t="str">
        <x:v>04｜历史案例抽样与盲测分组</x:v>
      </x:c>
      <x:c r="J1" s="3" t="str">
        <x:v>04｜历史案例抽样与盲测分组</x:v>
      </x:c>
      <x:c r="K1" s="3" t="str">
        <x:v>04｜历史案例抽样与盲测分组</x:v>
      </x:c>
      <x:c r="L1" s="3" t="str">
        <x:v>04｜历史案例抽样与盲测分组</x:v>
      </x:c>
      <x:c r="M1" s="3" t="str">
        <x:v>04｜历史案例抽样与盲测分组</x:v>
      </x:c>
      <x:c r="N1" s="3" t="str">
        <x:v>04｜历史案例抽样与盲测分组</x:v>
      </x:c>
      <x:c r="O1" s="3" t="str">
        <x:v>04｜历史案例抽样与盲测分组</x:v>
      </x:c>
    </x:row>
    <x:row r="2" ht="34" customHeight="1">
      <x:c r="A2" s="7" t="str">
        <x:v>建议 50–100 个已关闭问题。Index 只用于建立知识库；Blind Test 在索引构建和提示词调试期间不可见。每个测试问题至少由两名 SME 独立判断。</x:v>
      </x:c>
      <x:c r="B2" s="7" t="str">
        <x:v>建议 50–100 个已关闭问题。Index 只用于建立知识库；Blind Test 在索引构建和提示词调试期间不可见。每个测试问题至少由两名 SME 独立判断。</x:v>
      </x:c>
      <x:c r="C2" s="7" t="str">
        <x:v>建议 50–100 个已关闭问题。Index 只用于建立知识库；Blind Test 在索引构建和提示词调试期间不可见。每个测试问题至少由两名 SME 独立判断。</x:v>
      </x:c>
      <x:c r="D2" s="7" t="str">
        <x:v>建议 50–100 个已关闭问题。Index 只用于建立知识库；Blind Test 在索引构建和提示词调试期间不可见。每个测试问题至少由两名 SME 独立判断。</x:v>
      </x:c>
      <x:c r="E2" s="7" t="str">
        <x:v>建议 50–100 个已关闭问题。Index 只用于建立知识库；Blind Test 在索引构建和提示词调试期间不可见。每个测试问题至少由两名 SME 独立判断。</x:v>
      </x:c>
      <x:c r="F2" s="7" t="str">
        <x:v>建议 50–100 个已关闭问题。Index 只用于建立知识库；Blind Test 在索引构建和提示词调试期间不可见。每个测试问题至少由两名 SME 独立判断。</x:v>
      </x:c>
      <x:c r="G2" s="7" t="str">
        <x:v>建议 50–100 个已关闭问题。Index 只用于建立知识库；Blind Test 在索引构建和提示词调试期间不可见。每个测试问题至少由两名 SME 独立判断。</x:v>
      </x:c>
      <x:c r="H2" s="7" t="str">
        <x:v>建议 50–100 个已关闭问题。Index 只用于建立知识库；Blind Test 在索引构建和提示词调试期间不可见。每个测试问题至少由两名 SME 独立判断。</x:v>
      </x:c>
      <x:c r="I2" s="7" t="str">
        <x:v>建议 50–100 个已关闭问题。Index 只用于建立知识库；Blind Test 在索引构建和提示词调试期间不可见。每个测试问题至少由两名 SME 独立判断。</x:v>
      </x:c>
      <x:c r="J2" s="7" t="str">
        <x:v>建议 50–100 个已关闭问题。Index 只用于建立知识库；Blind Test 在索引构建和提示词调试期间不可见。每个测试问题至少由两名 SME 独立判断。</x:v>
      </x:c>
      <x:c r="K2" s="7" t="str">
        <x:v>建议 50–100 个已关闭问题。Index 只用于建立知识库；Blind Test 在索引构建和提示词调试期间不可见。每个测试问题至少由两名 SME 独立判断。</x:v>
      </x:c>
      <x:c r="L2" s="7" t="str">
        <x:v>建议 50–100 个已关闭问题。Index 只用于建立知识库；Blind Test 在索引构建和提示词调试期间不可见。每个测试问题至少由两名 SME 独立判断。</x:v>
      </x:c>
      <x:c r="M2" s="7" t="str">
        <x:v>建议 50–100 个已关闭问题。Index 只用于建立知识库；Blind Test 在索引构建和提示词调试期间不可见。每个测试问题至少由两名 SME 独立判断。</x:v>
      </x:c>
      <x:c r="N2" s="7" t="str">
        <x:v>建议 50–100 个已关闭问题。Index 只用于建立知识库；Blind Test 在索引构建和提示词调试期间不可见。每个测试问题至少由两名 SME 独立判断。</x:v>
      </x:c>
      <x:c r="O2" s="7" t="str">
        <x:v>建议 50–100 个已关闭问题。Index 只用于建立知识库；Blind Test 在索引构建和提示词调试期间不可见。每个测试问题至少由两名 SME 独立判断。</x:v>
      </x:c>
    </x:row>
    <x:row r="5" ht="32" customHeight="1">
      <x:c r="A5" s="19" t="str">
        <x:v>样本ID</x:v>
      </x:c>
      <x:c r="B5" s="20" t="str">
        <x:v>源调查ID</x:v>
      </x:c>
      <x:c r="C5" s="20" t="str">
        <x:v>发现时间</x:v>
      </x:c>
      <x:c r="D5" s="20" t="str">
        <x:v>产品族</x:v>
      </x:c>
      <x:c r="E5" s="20" t="str">
        <x:v>测试阶段</x:v>
      </x:c>
      <x:c r="F5" s="20" t="str">
        <x:v>异常范围</x:v>
      </x:c>
      <x:c r="G5" s="20" t="str">
        <x:v>失败现象</x:v>
      </x:c>
      <x:c r="H5" s="20" t="str">
        <x:v>根因类别</x:v>
      </x:c>
      <x:c r="I5" s="20" t="str">
        <x:v>关闭状态</x:v>
      </x:c>
      <x:c r="J5" s="20" t="str">
        <x:v>证据齐全</x:v>
      </x:c>
      <x:c r="K5" s="20" t="str">
        <x:v>分组</x:v>
      </x:c>
      <x:c r="L5" s="20" t="str">
        <x:v>SME1判断</x:v>
      </x:c>
      <x:c r="M5" s="20" t="str">
        <x:v>SME2判断</x:v>
      </x:c>
      <x:c r="N5" s="20" t="str">
        <x:v>一致性</x:v>
      </x:c>
      <x:c r="O5" s="21" t="str">
        <x:v>备注</x:v>
      </x:c>
    </x:row>
    <x:row r="6" ht="30" customHeight="1">
      <x:c r="A6" s="33" t="str">
        <x:v>S-001</x:v>
      </x:c>
      <x:c r="B6" s="33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>
        <x:v>Index</x:v>
      </x:c>
      <x:c r="L6" s="33" t="str"/>
      <x:c r="M6" s="33" t="str"/>
      <x:c r="N6" s="33" t="str">
        <x:f>IF(OR(L6="",M6=""),"待标注",IF(L6=M6,"一致","需仲裁"))</x:f>
        <x:v>待标注</x:v>
      </x:c>
      <x:c r="O6" s="33" t="str"/>
    </x:row>
    <x:row r="7" ht="30" customHeight="1">
      <x:c r="A7" s="34" t="str">
        <x:v>S-002</x:v>
      </x:c>
      <x:c r="B7" s="34" t="str"/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  <x:c r="K7" s="34" t="str">
        <x:v>Index</x:v>
      </x:c>
      <x:c r="L7" s="34" t="str"/>
      <x:c r="M7" s="34" t="str"/>
      <x:c r="N7" s="34" t="str">
        <x:f>IF(OR(L7="",M7=""),"待标注",IF(L7=M7,"一致","需仲裁"))</x:f>
        <x:v>待标注</x:v>
      </x:c>
      <x:c r="O7" s="34" t="str"/>
    </x:row>
    <x:row r="8" ht="30" customHeight="1">
      <x:c r="A8" s="34" t="str">
        <x:v>S-003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4" t="str">
        <x:v>Index</x:v>
      </x:c>
      <x:c r="L8" s="34" t="str"/>
      <x:c r="M8" s="34" t="str"/>
      <x:c r="N8" s="34" t="str">
        <x:f>IF(OR(L8="",M8=""),"待标注",IF(L8=M8,"一致","需仲裁"))</x:f>
        <x:v>待标注</x:v>
      </x:c>
      <x:c r="O8" s="34" t="str"/>
    </x:row>
    <x:row r="9" ht="30" customHeight="1">
      <x:c r="A9" s="34" t="str">
        <x:v>S-004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4" t="str">
        <x:v>Index</x:v>
      </x:c>
      <x:c r="L9" s="34" t="str"/>
      <x:c r="M9" s="34" t="str"/>
      <x:c r="N9" s="34" t="str">
        <x:f>IF(OR(L9="",M9=""),"待标注",IF(L9=M9,"一致","需仲裁"))</x:f>
        <x:v>待标注</x:v>
      </x:c>
      <x:c r="O9" s="34" t="str"/>
    </x:row>
    <x:row r="10" ht="30" customHeight="1">
      <x:c r="A10" s="34" t="str">
        <x:v>S-005</x:v>
      </x:c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4" t="str">
        <x:v>Index</x:v>
      </x:c>
      <x:c r="L10" s="34" t="str"/>
      <x:c r="M10" s="34" t="str"/>
      <x:c r="N10" s="34" t="str">
        <x:f>IF(OR(L10="",M10=""),"待标注",IF(L10=M10,"一致","需仲裁"))</x:f>
        <x:v>待标注</x:v>
      </x:c>
      <x:c r="O10" s="34" t="str"/>
    </x:row>
    <x:row r="11" ht="30" customHeight="1">
      <x:c r="A11" s="34" t="str">
        <x:v>S-006</x:v>
      </x:c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4" t="str">
        <x:v>Index</x:v>
      </x:c>
      <x:c r="L11" s="34" t="str"/>
      <x:c r="M11" s="34" t="str"/>
      <x:c r="N11" s="34" t="str">
        <x:f>IF(OR(L11="",M11=""),"待标注",IF(L11=M11,"一致","需仲裁"))</x:f>
        <x:v>待标注</x:v>
      </x:c>
      <x:c r="O11" s="34" t="str"/>
    </x:row>
    <x:row r="12" ht="30" customHeight="1">
      <x:c r="A12" s="34" t="str">
        <x:v>S-007</x:v>
      </x:c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4" t="str">
        <x:v>Index</x:v>
      </x:c>
      <x:c r="L12" s="34" t="str"/>
      <x:c r="M12" s="34" t="str"/>
      <x:c r="N12" s="34" t="str">
        <x:f>IF(OR(L12="",M12=""),"待标注",IF(L12=M12,"一致","需仲裁"))</x:f>
        <x:v>待标注</x:v>
      </x:c>
      <x:c r="O12" s="34" t="str"/>
    </x:row>
    <x:row r="13" ht="30" customHeight="1">
      <x:c r="A13" s="34" t="str">
        <x:v>S-008</x:v>
      </x:c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4" t="str">
        <x:v>Index</x:v>
      </x:c>
      <x:c r="L13" s="34" t="str"/>
      <x:c r="M13" s="34" t="str"/>
      <x:c r="N13" s="34" t="str">
        <x:f>IF(OR(L13="",M13=""),"待标注",IF(L13=M13,"一致","需仲裁"))</x:f>
        <x:v>待标注</x:v>
      </x:c>
      <x:c r="O13" s="34" t="str"/>
    </x:row>
    <x:row r="14" ht="30" customHeight="1">
      <x:c r="A14" s="34" t="str">
        <x:v>S-009</x:v>
      </x:c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4" t="str">
        <x:v>Index</x:v>
      </x:c>
      <x:c r="L14" s="34" t="str"/>
      <x:c r="M14" s="34" t="str"/>
      <x:c r="N14" s="34" t="str">
        <x:f>IF(OR(L14="",M14=""),"待标注",IF(L14=M14,"一致","需仲裁"))</x:f>
        <x:v>待标注</x:v>
      </x:c>
      <x:c r="O14" s="34" t="str"/>
    </x:row>
    <x:row r="15" ht="30" customHeight="1">
      <x:c r="A15" s="34" t="str">
        <x:v>S-010</x:v>
      </x:c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4" t="str">
        <x:v>Index</x:v>
      </x:c>
      <x:c r="L15" s="34" t="str"/>
      <x:c r="M15" s="34" t="str"/>
      <x:c r="N15" s="34" t="str">
        <x:f>IF(OR(L15="",M15=""),"待标注",IF(L15=M15,"一致","需仲裁"))</x:f>
        <x:v>待标注</x:v>
      </x:c>
      <x:c r="O15" s="34" t="str"/>
    </x:row>
    <x:row r="16" ht="30" customHeight="1">
      <x:c r="A16" s="34" t="str">
        <x:v>S-011</x:v>
      </x:c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4" t="str">
        <x:v>Index</x:v>
      </x:c>
      <x:c r="L16" s="34" t="str"/>
      <x:c r="M16" s="34" t="str"/>
      <x:c r="N16" s="34" t="str">
        <x:f>IF(OR(L16="",M16=""),"待标注",IF(L16=M16,"一致","需仲裁"))</x:f>
        <x:v>待标注</x:v>
      </x:c>
      <x:c r="O16" s="34" t="str"/>
    </x:row>
    <x:row r="17" ht="30" customHeight="1">
      <x:c r="A17" s="34" t="str">
        <x:v>S-012</x:v>
      </x:c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4" t="str">
        <x:v>Index</x:v>
      </x:c>
      <x:c r="L17" s="34" t="str"/>
      <x:c r="M17" s="34" t="str"/>
      <x:c r="N17" s="34" t="str">
        <x:f>IF(OR(L17="",M17=""),"待标注",IF(L17=M17,"一致","需仲裁"))</x:f>
        <x:v>待标注</x:v>
      </x:c>
      <x:c r="O17" s="34" t="str"/>
    </x:row>
    <x:row r="18" ht="30" customHeight="1">
      <x:c r="A18" s="34" t="str">
        <x:v>S-013</x:v>
      </x:c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4" t="str">
        <x:v>Index</x:v>
      </x:c>
      <x:c r="L18" s="34" t="str"/>
      <x:c r="M18" s="34" t="str"/>
      <x:c r="N18" s="34" t="str">
        <x:f>IF(OR(L18="",M18=""),"待标注",IF(L18=M18,"一致","需仲裁"))</x:f>
        <x:v>待标注</x:v>
      </x:c>
      <x:c r="O18" s="34" t="str"/>
    </x:row>
    <x:row r="19" ht="30" customHeight="1">
      <x:c r="A19" s="34" t="str">
        <x:v>S-014</x:v>
      </x:c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4" t="str">
        <x:v>Index</x:v>
      </x:c>
      <x:c r="L19" s="34" t="str"/>
      <x:c r="M19" s="34" t="str"/>
      <x:c r="N19" s="34" t="str">
        <x:f>IF(OR(L19="",M19=""),"待标注",IF(L19=M19,"一致","需仲裁"))</x:f>
        <x:v>待标注</x:v>
      </x:c>
      <x:c r="O19" s="34" t="str"/>
    </x:row>
    <x:row r="20" ht="30" customHeight="1">
      <x:c r="A20" s="34" t="str">
        <x:v>S-015</x:v>
      </x:c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4" t="str">
        <x:v>Index</x:v>
      </x:c>
      <x:c r="L20" s="34" t="str"/>
      <x:c r="M20" s="34" t="str"/>
      <x:c r="N20" s="34" t="str">
        <x:f>IF(OR(L20="",M20=""),"待标注",IF(L20=M20,"一致","需仲裁"))</x:f>
        <x:v>待标注</x:v>
      </x:c>
      <x:c r="O20" s="34" t="str"/>
    </x:row>
    <x:row r="21" ht="30" customHeight="1">
      <x:c r="A21" s="34" t="str">
        <x:v>S-016</x:v>
      </x:c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4" t="str">
        <x:v>Index</x:v>
      </x:c>
      <x:c r="L21" s="34" t="str"/>
      <x:c r="M21" s="34" t="str"/>
      <x:c r="N21" s="34" t="str">
        <x:f>IF(OR(L21="",M21=""),"待标注",IF(L21=M21,"一致","需仲裁"))</x:f>
        <x:v>待标注</x:v>
      </x:c>
      <x:c r="O21" s="34" t="str"/>
    </x:row>
    <x:row r="22" ht="30" customHeight="1">
      <x:c r="A22" s="34" t="str">
        <x:v>S-017</x:v>
      </x:c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4" t="str">
        <x:v>Index</x:v>
      </x:c>
      <x:c r="L22" s="34" t="str"/>
      <x:c r="M22" s="34" t="str"/>
      <x:c r="N22" s="34" t="str">
        <x:f>IF(OR(L22="",M22=""),"待标注",IF(L22=M22,"一致","需仲裁"))</x:f>
        <x:v>待标注</x:v>
      </x:c>
      <x:c r="O22" s="34" t="str"/>
    </x:row>
    <x:row r="23" ht="30" customHeight="1">
      <x:c r="A23" s="34" t="str">
        <x:v>S-018</x:v>
      </x:c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4" t="str">
        <x:v>Index</x:v>
      </x:c>
      <x:c r="L23" s="34" t="str"/>
      <x:c r="M23" s="34" t="str"/>
      <x:c r="N23" s="34" t="str">
        <x:f>IF(OR(L23="",M23=""),"待标注",IF(L23=M23,"一致","需仲裁"))</x:f>
        <x:v>待标注</x:v>
      </x:c>
      <x:c r="O23" s="34" t="str"/>
    </x:row>
    <x:row r="24" ht="30" customHeight="1">
      <x:c r="A24" s="34" t="str">
        <x:v>S-019</x:v>
      </x:c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4" t="str">
        <x:v>Index</x:v>
      </x:c>
      <x:c r="L24" s="34" t="str"/>
      <x:c r="M24" s="34" t="str"/>
      <x:c r="N24" s="34" t="str">
        <x:f>IF(OR(L24="",M24=""),"待标注",IF(L24=M24,"一致","需仲裁"))</x:f>
        <x:v>待标注</x:v>
      </x:c>
      <x:c r="O24" s="34" t="str"/>
    </x:row>
    <x:row r="25" ht="30" customHeight="1">
      <x:c r="A25" s="34" t="str">
        <x:v>S-020</x:v>
      </x:c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4" t="str">
        <x:v>Index</x:v>
      </x:c>
      <x:c r="L25" s="34" t="str"/>
      <x:c r="M25" s="34" t="str"/>
      <x:c r="N25" s="34" t="str">
        <x:f>IF(OR(L25="",M25=""),"待标注",IF(L25=M25,"一致","需仲裁"))</x:f>
        <x:v>待标注</x:v>
      </x:c>
      <x:c r="O25" s="34" t="str"/>
    </x:row>
    <x:row r="26" ht="30" customHeight="1">
      <x:c r="A26" s="34" t="str">
        <x:v>S-021</x:v>
      </x:c>
      <x:c r="B26" s="34" t="str"/>
      <x:c r="C26" s="34" t="str"/>
      <x:c r="D26" s="34" t="str"/>
      <x:c r="E26" s="34" t="str"/>
      <x:c r="F26" s="34" t="str"/>
      <x:c r="G26" s="34" t="str"/>
      <x:c r="H26" s="34" t="str"/>
      <x:c r="I26" s="34" t="str"/>
      <x:c r="J26" s="34" t="str"/>
      <x:c r="K26" s="34" t="str">
        <x:v>Index</x:v>
      </x:c>
      <x:c r="L26" s="34" t="str"/>
      <x:c r="M26" s="34" t="str"/>
      <x:c r="N26" s="34" t="str">
        <x:f>IF(OR(L26="",M26=""),"待标注",IF(L26=M26,"一致","需仲裁"))</x:f>
        <x:v>待标注</x:v>
      </x:c>
      <x:c r="O26" s="34" t="str"/>
    </x:row>
    <x:row r="27" ht="30" customHeight="1">
      <x:c r="A27" s="34" t="str">
        <x:v>S-022</x:v>
      </x:c>
      <x:c r="B27" s="34" t="str"/>
      <x:c r="C27" s="34" t="str"/>
      <x:c r="D27" s="34" t="str"/>
      <x:c r="E27" s="34" t="str"/>
      <x:c r="F27" s="34" t="str"/>
      <x:c r="G27" s="34" t="str"/>
      <x:c r="H27" s="34" t="str"/>
      <x:c r="I27" s="34" t="str"/>
      <x:c r="J27" s="34" t="str"/>
      <x:c r="K27" s="34" t="str">
        <x:v>Index</x:v>
      </x:c>
      <x:c r="L27" s="34" t="str"/>
      <x:c r="M27" s="34" t="str"/>
      <x:c r="N27" s="34" t="str">
        <x:f>IF(OR(L27="",M27=""),"待标注",IF(L27=M27,"一致","需仲裁"))</x:f>
        <x:v>待标注</x:v>
      </x:c>
      <x:c r="O27" s="34" t="str"/>
    </x:row>
    <x:row r="28" ht="30" customHeight="1">
      <x:c r="A28" s="34" t="str">
        <x:v>S-023</x:v>
      </x:c>
      <x:c r="B28" s="34" t="str"/>
      <x:c r="C28" s="34" t="str"/>
      <x:c r="D28" s="34" t="str"/>
      <x:c r="E28" s="34" t="str"/>
      <x:c r="F28" s="34" t="str"/>
      <x:c r="G28" s="34" t="str"/>
      <x:c r="H28" s="34" t="str"/>
      <x:c r="I28" s="34" t="str"/>
      <x:c r="J28" s="34" t="str"/>
      <x:c r="K28" s="34" t="str">
        <x:v>Index</x:v>
      </x:c>
      <x:c r="L28" s="34" t="str"/>
      <x:c r="M28" s="34" t="str"/>
      <x:c r="N28" s="34" t="str">
        <x:f>IF(OR(L28="",M28=""),"待标注",IF(L28=M28,"一致","需仲裁"))</x:f>
        <x:v>待标注</x:v>
      </x:c>
      <x:c r="O28" s="34" t="str"/>
    </x:row>
    <x:row r="29" ht="30" customHeight="1">
      <x:c r="A29" s="34" t="str">
        <x:v>S-024</x:v>
      </x:c>
      <x:c r="B29" s="34" t="str"/>
      <x:c r="C29" s="34" t="str"/>
      <x:c r="D29" s="34" t="str"/>
      <x:c r="E29" s="34" t="str"/>
      <x:c r="F29" s="34" t="str"/>
      <x:c r="G29" s="34" t="str"/>
      <x:c r="H29" s="34" t="str"/>
      <x:c r="I29" s="34" t="str"/>
      <x:c r="J29" s="34" t="str"/>
      <x:c r="K29" s="34" t="str">
        <x:v>Index</x:v>
      </x:c>
      <x:c r="L29" s="34" t="str"/>
      <x:c r="M29" s="34" t="str"/>
      <x:c r="N29" s="34" t="str">
        <x:f>IF(OR(L29="",M29=""),"待标注",IF(L29=M29,"一致","需仲裁"))</x:f>
        <x:v>待标注</x:v>
      </x:c>
      <x:c r="O29" s="34" t="str"/>
    </x:row>
    <x:row r="30" ht="30" customHeight="1">
      <x:c r="A30" s="34" t="str">
        <x:v>S-025</x:v>
      </x:c>
      <x:c r="B30" s="34" t="str"/>
      <x:c r="C30" s="34" t="str"/>
      <x:c r="D30" s="34" t="str"/>
      <x:c r="E30" s="34" t="str"/>
      <x:c r="F30" s="34" t="str"/>
      <x:c r="G30" s="34" t="str"/>
      <x:c r="H30" s="34" t="str"/>
      <x:c r="I30" s="34" t="str"/>
      <x:c r="J30" s="34" t="str"/>
      <x:c r="K30" s="34" t="str">
        <x:v>Index</x:v>
      </x:c>
      <x:c r="L30" s="34" t="str"/>
      <x:c r="M30" s="34" t="str"/>
      <x:c r="N30" s="34" t="str">
        <x:f>IF(OR(L30="",M30=""),"待标注",IF(L30=M30,"一致","需仲裁"))</x:f>
        <x:v>待标注</x:v>
      </x:c>
      <x:c r="O30" s="34" t="str"/>
    </x:row>
    <x:row r="31" ht="30" customHeight="1">
      <x:c r="A31" s="34" t="str">
        <x:v>S-026</x:v>
      </x:c>
      <x:c r="B31" s="34" t="str"/>
      <x:c r="C31" s="34" t="str"/>
      <x:c r="D31" s="34" t="str"/>
      <x:c r="E31" s="34" t="str"/>
      <x:c r="F31" s="34" t="str"/>
      <x:c r="G31" s="34" t="str"/>
      <x:c r="H31" s="34" t="str"/>
      <x:c r="I31" s="34" t="str"/>
      <x:c r="J31" s="34" t="str"/>
      <x:c r="K31" s="34" t="str">
        <x:v>Index</x:v>
      </x:c>
      <x:c r="L31" s="34" t="str"/>
      <x:c r="M31" s="34" t="str"/>
      <x:c r="N31" s="34" t="str">
        <x:f>IF(OR(L31="",M31=""),"待标注",IF(L31=M31,"一致","需仲裁"))</x:f>
        <x:v>待标注</x:v>
      </x:c>
      <x:c r="O31" s="34" t="str"/>
    </x:row>
    <x:row r="32" ht="30" customHeight="1">
      <x:c r="A32" s="34" t="str">
        <x:v>S-027</x:v>
      </x:c>
      <x:c r="B32" s="34" t="str"/>
      <x:c r="C32" s="34" t="str"/>
      <x:c r="D32" s="34" t="str"/>
      <x:c r="E32" s="34" t="str"/>
      <x:c r="F32" s="34" t="str"/>
      <x:c r="G32" s="34" t="str"/>
      <x:c r="H32" s="34" t="str"/>
      <x:c r="I32" s="34" t="str"/>
      <x:c r="J32" s="34" t="str"/>
      <x:c r="K32" s="34" t="str">
        <x:v>Index</x:v>
      </x:c>
      <x:c r="L32" s="34" t="str"/>
      <x:c r="M32" s="34" t="str"/>
      <x:c r="N32" s="34" t="str">
        <x:f>IF(OR(L32="",M32=""),"待标注",IF(L32=M32,"一致","需仲裁"))</x:f>
        <x:v>待标注</x:v>
      </x:c>
      <x:c r="O32" s="34" t="str"/>
    </x:row>
    <x:row r="33" ht="30" customHeight="1">
      <x:c r="A33" s="34" t="str">
        <x:v>S-028</x:v>
      </x:c>
      <x:c r="B33" s="34" t="str"/>
      <x:c r="C33" s="34" t="str"/>
      <x:c r="D33" s="34" t="str"/>
      <x:c r="E33" s="34" t="str"/>
      <x:c r="F33" s="34" t="str"/>
      <x:c r="G33" s="34" t="str"/>
      <x:c r="H33" s="34" t="str"/>
      <x:c r="I33" s="34" t="str"/>
      <x:c r="J33" s="34" t="str"/>
      <x:c r="K33" s="34" t="str">
        <x:v>Index</x:v>
      </x:c>
      <x:c r="L33" s="34" t="str"/>
      <x:c r="M33" s="34" t="str"/>
      <x:c r="N33" s="34" t="str">
        <x:f>IF(OR(L33="",M33=""),"待标注",IF(L33=M33,"一致","需仲裁"))</x:f>
        <x:v>待标注</x:v>
      </x:c>
      <x:c r="O33" s="34" t="str"/>
    </x:row>
    <x:row r="34" ht="30" customHeight="1">
      <x:c r="A34" s="34" t="str">
        <x:v>S-029</x:v>
      </x:c>
      <x:c r="B34" s="34" t="str"/>
      <x:c r="C34" s="34" t="str"/>
      <x:c r="D34" s="34" t="str"/>
      <x:c r="E34" s="34" t="str"/>
      <x:c r="F34" s="34" t="str"/>
      <x:c r="G34" s="34" t="str"/>
      <x:c r="H34" s="34" t="str"/>
      <x:c r="I34" s="34" t="str"/>
      <x:c r="J34" s="34" t="str"/>
      <x:c r="K34" s="34" t="str">
        <x:v>Index</x:v>
      </x:c>
      <x:c r="L34" s="34" t="str"/>
      <x:c r="M34" s="34" t="str"/>
      <x:c r="N34" s="34" t="str">
        <x:f>IF(OR(L34="",M34=""),"待标注",IF(L34=M34,"一致","需仲裁"))</x:f>
        <x:v>待标注</x:v>
      </x:c>
      <x:c r="O34" s="34" t="str"/>
    </x:row>
    <x:row r="35" ht="30" customHeight="1">
      <x:c r="A35" s="34" t="str">
        <x:v>S-030</x:v>
      </x:c>
      <x:c r="B35" s="34" t="str"/>
      <x:c r="C35" s="34" t="str"/>
      <x:c r="D35" s="34" t="str"/>
      <x:c r="E35" s="34" t="str"/>
      <x:c r="F35" s="34" t="str"/>
      <x:c r="G35" s="34" t="str"/>
      <x:c r="H35" s="34" t="str"/>
      <x:c r="I35" s="34" t="str"/>
      <x:c r="J35" s="34" t="str"/>
      <x:c r="K35" s="34" t="str">
        <x:v>Index</x:v>
      </x:c>
      <x:c r="L35" s="34" t="str"/>
      <x:c r="M35" s="34" t="str"/>
      <x:c r="N35" s="34" t="str">
        <x:f>IF(OR(L35="",M35=""),"待标注",IF(L35=M35,"一致","需仲裁"))</x:f>
        <x:v>待标注</x:v>
      </x:c>
      <x:c r="O35" s="34" t="str"/>
    </x:row>
    <x:row r="36" ht="30" customHeight="1">
      <x:c r="A36" s="34" t="str">
        <x:v>S-031</x:v>
      </x:c>
      <x:c r="B36" s="34" t="str"/>
      <x:c r="C36" s="34" t="str"/>
      <x:c r="D36" s="34" t="str"/>
      <x:c r="E36" s="34" t="str"/>
      <x:c r="F36" s="34" t="str"/>
      <x:c r="G36" s="34" t="str"/>
      <x:c r="H36" s="34" t="str"/>
      <x:c r="I36" s="34" t="str"/>
      <x:c r="J36" s="34" t="str"/>
      <x:c r="K36" s="34" t="str">
        <x:v>Index</x:v>
      </x:c>
      <x:c r="L36" s="34" t="str"/>
      <x:c r="M36" s="34" t="str"/>
      <x:c r="N36" s="34" t="str">
        <x:f>IF(OR(L36="",M36=""),"待标注",IF(L36=M36,"一致","需仲裁"))</x:f>
        <x:v>待标注</x:v>
      </x:c>
      <x:c r="O36" s="34" t="str"/>
    </x:row>
    <x:row r="37" ht="30" customHeight="1">
      <x:c r="A37" s="34" t="str">
        <x:v>S-032</x:v>
      </x:c>
      <x:c r="B37" s="34" t="str"/>
      <x:c r="C37" s="34" t="str"/>
      <x:c r="D37" s="34" t="str"/>
      <x:c r="E37" s="34" t="str"/>
      <x:c r="F37" s="34" t="str"/>
      <x:c r="G37" s="34" t="str"/>
      <x:c r="H37" s="34" t="str"/>
      <x:c r="I37" s="34" t="str"/>
      <x:c r="J37" s="34" t="str"/>
      <x:c r="K37" s="34" t="str">
        <x:v>Index</x:v>
      </x:c>
      <x:c r="L37" s="34" t="str"/>
      <x:c r="M37" s="34" t="str"/>
      <x:c r="N37" s="34" t="str">
        <x:f>IF(OR(L37="",M37=""),"待标注",IF(L37=M37,"一致","需仲裁"))</x:f>
        <x:v>待标注</x:v>
      </x:c>
      <x:c r="O37" s="34" t="str"/>
    </x:row>
    <x:row r="38" ht="30" customHeight="1">
      <x:c r="A38" s="34" t="str">
        <x:v>S-033</x:v>
      </x:c>
      <x:c r="B38" s="34" t="str"/>
      <x:c r="C38" s="34" t="str"/>
      <x:c r="D38" s="34" t="str"/>
      <x:c r="E38" s="34" t="str"/>
      <x:c r="F38" s="34" t="str"/>
      <x:c r="G38" s="34" t="str"/>
      <x:c r="H38" s="34" t="str"/>
      <x:c r="I38" s="34" t="str"/>
      <x:c r="J38" s="34" t="str"/>
      <x:c r="K38" s="34" t="str">
        <x:v>Index</x:v>
      </x:c>
      <x:c r="L38" s="34" t="str"/>
      <x:c r="M38" s="34" t="str"/>
      <x:c r="N38" s="34" t="str">
        <x:f>IF(OR(L38="",M38=""),"待标注",IF(L38=M38,"一致","需仲裁"))</x:f>
        <x:v>待标注</x:v>
      </x:c>
      <x:c r="O38" s="34" t="str"/>
    </x:row>
    <x:row r="39" ht="30" customHeight="1">
      <x:c r="A39" s="34" t="str">
        <x:v>S-034</x:v>
      </x:c>
      <x:c r="B39" s="34" t="str"/>
      <x:c r="C39" s="34" t="str"/>
      <x:c r="D39" s="34" t="str"/>
      <x:c r="E39" s="34" t="str"/>
      <x:c r="F39" s="34" t="str"/>
      <x:c r="G39" s="34" t="str"/>
      <x:c r="H39" s="34" t="str"/>
      <x:c r="I39" s="34" t="str"/>
      <x:c r="J39" s="34" t="str"/>
      <x:c r="K39" s="34" t="str">
        <x:v>Index</x:v>
      </x:c>
      <x:c r="L39" s="34" t="str"/>
      <x:c r="M39" s="34" t="str"/>
      <x:c r="N39" s="34" t="str">
        <x:f>IF(OR(L39="",M39=""),"待标注",IF(L39=M39,"一致","需仲裁"))</x:f>
        <x:v>待标注</x:v>
      </x:c>
      <x:c r="O39" s="34" t="str"/>
    </x:row>
    <x:row r="40" ht="30" customHeight="1">
      <x:c r="A40" s="34" t="str">
        <x:v>S-035</x:v>
      </x:c>
      <x:c r="B40" s="34" t="str"/>
      <x:c r="C40" s="34" t="str"/>
      <x:c r="D40" s="34" t="str"/>
      <x:c r="E40" s="34" t="str"/>
      <x:c r="F40" s="34" t="str"/>
      <x:c r="G40" s="34" t="str"/>
      <x:c r="H40" s="34" t="str"/>
      <x:c r="I40" s="34" t="str"/>
      <x:c r="J40" s="34" t="str"/>
      <x:c r="K40" s="34" t="str">
        <x:v>Index</x:v>
      </x:c>
      <x:c r="L40" s="34" t="str"/>
      <x:c r="M40" s="34" t="str"/>
      <x:c r="N40" s="34" t="str">
        <x:f>IF(OR(L40="",M40=""),"待标注",IF(L40=M40,"一致","需仲裁"))</x:f>
        <x:v>待标注</x:v>
      </x:c>
      <x:c r="O40" s="34" t="str"/>
    </x:row>
    <x:row r="41" ht="30" customHeight="1">
      <x:c r="A41" s="34" t="str">
        <x:v>S-036</x:v>
      </x:c>
      <x:c r="B41" s="34" t="str"/>
      <x:c r="C41" s="34" t="str"/>
      <x:c r="D41" s="34" t="str"/>
      <x:c r="E41" s="34" t="str"/>
      <x:c r="F41" s="34" t="str"/>
      <x:c r="G41" s="34" t="str"/>
      <x:c r="H41" s="34" t="str"/>
      <x:c r="I41" s="34" t="str"/>
      <x:c r="J41" s="34" t="str"/>
      <x:c r="K41" s="34" t="str">
        <x:v>Index</x:v>
      </x:c>
      <x:c r="L41" s="34" t="str"/>
      <x:c r="M41" s="34" t="str"/>
      <x:c r="N41" s="34" t="str">
        <x:f>IF(OR(L41="",M41=""),"待标注",IF(L41=M41,"一致","需仲裁"))</x:f>
        <x:v>待标注</x:v>
      </x:c>
      <x:c r="O41" s="34" t="str"/>
    </x:row>
    <x:row r="42" ht="30" customHeight="1">
      <x:c r="A42" s="34" t="str">
        <x:v>S-037</x:v>
      </x:c>
      <x:c r="B42" s="34" t="str"/>
      <x:c r="C42" s="34" t="str"/>
      <x:c r="D42" s="34" t="str"/>
      <x:c r="E42" s="34" t="str"/>
      <x:c r="F42" s="34" t="str"/>
      <x:c r="G42" s="34" t="str"/>
      <x:c r="H42" s="34" t="str"/>
      <x:c r="I42" s="34" t="str"/>
      <x:c r="J42" s="34" t="str"/>
      <x:c r="K42" s="34" t="str">
        <x:v>Index</x:v>
      </x:c>
      <x:c r="L42" s="34" t="str"/>
      <x:c r="M42" s="34" t="str"/>
      <x:c r="N42" s="34" t="str">
        <x:f>IF(OR(L42="",M42=""),"待标注",IF(L42=M42,"一致","需仲裁"))</x:f>
        <x:v>待标注</x:v>
      </x:c>
      <x:c r="O42" s="34" t="str"/>
    </x:row>
    <x:row r="43" ht="30" customHeight="1">
      <x:c r="A43" s="34" t="str">
        <x:v>S-038</x:v>
      </x:c>
      <x:c r="B43" s="34" t="str"/>
      <x:c r="C43" s="34" t="str"/>
      <x:c r="D43" s="34" t="str"/>
      <x:c r="E43" s="34" t="str"/>
      <x:c r="F43" s="34" t="str"/>
      <x:c r="G43" s="34" t="str"/>
      <x:c r="H43" s="34" t="str"/>
      <x:c r="I43" s="34" t="str"/>
      <x:c r="J43" s="34" t="str"/>
      <x:c r="K43" s="34" t="str">
        <x:v>Index</x:v>
      </x:c>
      <x:c r="L43" s="34" t="str"/>
      <x:c r="M43" s="34" t="str"/>
      <x:c r="N43" s="34" t="str">
        <x:f>IF(OR(L43="",M43=""),"待标注",IF(L43=M43,"一致","需仲裁"))</x:f>
        <x:v>待标注</x:v>
      </x:c>
      <x:c r="O43" s="34" t="str"/>
    </x:row>
    <x:row r="44" ht="30" customHeight="1">
      <x:c r="A44" s="34" t="str">
        <x:v>S-039</x:v>
      </x:c>
      <x:c r="B44" s="34" t="str"/>
      <x:c r="C44" s="34" t="str"/>
      <x:c r="D44" s="34" t="str"/>
      <x:c r="E44" s="34" t="str"/>
      <x:c r="F44" s="34" t="str"/>
      <x:c r="G44" s="34" t="str"/>
      <x:c r="H44" s="34" t="str"/>
      <x:c r="I44" s="34" t="str"/>
      <x:c r="J44" s="34" t="str"/>
      <x:c r="K44" s="34" t="str">
        <x:v>Index</x:v>
      </x:c>
      <x:c r="L44" s="34" t="str"/>
      <x:c r="M44" s="34" t="str"/>
      <x:c r="N44" s="34" t="str">
        <x:f>IF(OR(L44="",M44=""),"待标注",IF(L44=M44,"一致","需仲裁"))</x:f>
        <x:v>待标注</x:v>
      </x:c>
      <x:c r="O44" s="34" t="str"/>
    </x:row>
    <x:row r="45" ht="30" customHeight="1">
      <x:c r="A45" s="34" t="str">
        <x:v>S-040</x:v>
      </x:c>
      <x:c r="B45" s="34" t="str"/>
      <x:c r="C45" s="34" t="str"/>
      <x:c r="D45" s="34" t="str"/>
      <x:c r="E45" s="34" t="str"/>
      <x:c r="F45" s="34" t="str"/>
      <x:c r="G45" s="34" t="str"/>
      <x:c r="H45" s="34" t="str"/>
      <x:c r="I45" s="34" t="str"/>
      <x:c r="J45" s="34" t="str"/>
      <x:c r="K45" s="34" t="str">
        <x:v>Index</x:v>
      </x:c>
      <x:c r="L45" s="34" t="str"/>
      <x:c r="M45" s="34" t="str"/>
      <x:c r="N45" s="34" t="str">
        <x:f>IF(OR(L45="",M45=""),"待标注",IF(L45=M45,"一致","需仲裁"))</x:f>
        <x:v>待标注</x:v>
      </x:c>
      <x:c r="O45" s="34" t="str"/>
    </x:row>
    <x:row r="46" ht="30" customHeight="1">
      <x:c r="A46" s="34" t="str">
        <x:v>S-041</x:v>
      </x:c>
      <x:c r="B46" s="34" t="str"/>
      <x:c r="C46" s="34" t="str"/>
      <x:c r="D46" s="34" t="str"/>
      <x:c r="E46" s="34" t="str"/>
      <x:c r="F46" s="34" t="str"/>
      <x:c r="G46" s="34" t="str"/>
      <x:c r="H46" s="34" t="str"/>
      <x:c r="I46" s="34" t="str"/>
      <x:c r="J46" s="34" t="str"/>
      <x:c r="K46" s="34" t="str">
        <x:v>Index</x:v>
      </x:c>
      <x:c r="L46" s="34" t="str"/>
      <x:c r="M46" s="34" t="str"/>
      <x:c r="N46" s="34" t="str">
        <x:f>IF(OR(L46="",M46=""),"待标注",IF(L46=M46,"一致","需仲裁"))</x:f>
        <x:v>待标注</x:v>
      </x:c>
      <x:c r="O46" s="34" t="str"/>
    </x:row>
    <x:row r="47" ht="30" customHeight="1">
      <x:c r="A47" s="34" t="str">
        <x:v>S-042</x:v>
      </x:c>
      <x:c r="B47" s="34" t="str"/>
      <x:c r="C47" s="34" t="str"/>
      <x:c r="D47" s="34" t="str"/>
      <x:c r="E47" s="34" t="str"/>
      <x:c r="F47" s="34" t="str"/>
      <x:c r="G47" s="34" t="str"/>
      <x:c r="H47" s="34" t="str"/>
      <x:c r="I47" s="34" t="str"/>
      <x:c r="J47" s="34" t="str"/>
      <x:c r="K47" s="34" t="str">
        <x:v>Index</x:v>
      </x:c>
      <x:c r="L47" s="34" t="str"/>
      <x:c r="M47" s="34" t="str"/>
      <x:c r="N47" s="34" t="str">
        <x:f>IF(OR(L47="",M47=""),"待标注",IF(L47=M47,"一致","需仲裁"))</x:f>
        <x:v>待标注</x:v>
      </x:c>
      <x:c r="O47" s="34" t="str"/>
    </x:row>
    <x:row r="48" ht="30" customHeight="1">
      <x:c r="A48" s="34" t="str">
        <x:v>S-043</x:v>
      </x:c>
      <x:c r="B48" s="34" t="str"/>
      <x:c r="C48" s="34" t="str"/>
      <x:c r="D48" s="34" t="str"/>
      <x:c r="E48" s="34" t="str"/>
      <x:c r="F48" s="34" t="str"/>
      <x:c r="G48" s="34" t="str"/>
      <x:c r="H48" s="34" t="str"/>
      <x:c r="I48" s="34" t="str"/>
      <x:c r="J48" s="34" t="str"/>
      <x:c r="K48" s="34" t="str">
        <x:v>Index</x:v>
      </x:c>
      <x:c r="L48" s="34" t="str"/>
      <x:c r="M48" s="34" t="str"/>
      <x:c r="N48" s="34" t="str">
        <x:f>IF(OR(L48="",M48=""),"待标注",IF(L48=M48,"一致","需仲裁"))</x:f>
        <x:v>待标注</x:v>
      </x:c>
      <x:c r="O48" s="34" t="str"/>
    </x:row>
    <x:row r="49" ht="30" customHeight="1">
      <x:c r="A49" s="34" t="str">
        <x:v>S-044</x:v>
      </x:c>
      <x:c r="B49" s="34" t="str"/>
      <x:c r="C49" s="34" t="str"/>
      <x:c r="D49" s="34" t="str"/>
      <x:c r="E49" s="34" t="str"/>
      <x:c r="F49" s="34" t="str"/>
      <x:c r="G49" s="34" t="str"/>
      <x:c r="H49" s="34" t="str"/>
      <x:c r="I49" s="34" t="str"/>
      <x:c r="J49" s="34" t="str"/>
      <x:c r="K49" s="34" t="str">
        <x:v>Index</x:v>
      </x:c>
      <x:c r="L49" s="34" t="str"/>
      <x:c r="M49" s="34" t="str"/>
      <x:c r="N49" s="34" t="str">
        <x:f>IF(OR(L49="",M49=""),"待标注",IF(L49=M49,"一致","需仲裁"))</x:f>
        <x:v>待标注</x:v>
      </x:c>
      <x:c r="O49" s="34" t="str"/>
    </x:row>
    <x:row r="50" ht="30" customHeight="1">
      <x:c r="A50" s="34" t="str">
        <x:v>S-045</x:v>
      </x:c>
      <x:c r="B50" s="34" t="str"/>
      <x:c r="C50" s="34" t="str"/>
      <x:c r="D50" s="34" t="str"/>
      <x:c r="E50" s="34" t="str"/>
      <x:c r="F50" s="34" t="str"/>
      <x:c r="G50" s="34" t="str"/>
      <x:c r="H50" s="34" t="str"/>
      <x:c r="I50" s="34" t="str"/>
      <x:c r="J50" s="34" t="str"/>
      <x:c r="K50" s="34" t="str">
        <x:v>Index</x:v>
      </x:c>
      <x:c r="L50" s="34" t="str"/>
      <x:c r="M50" s="34" t="str"/>
      <x:c r="N50" s="34" t="str">
        <x:f>IF(OR(L50="",M50=""),"待标注",IF(L50=M50,"一致","需仲裁"))</x:f>
        <x:v>待标注</x:v>
      </x:c>
      <x:c r="O50" s="34" t="str"/>
    </x:row>
    <x:row r="51" ht="30" customHeight="1">
      <x:c r="A51" s="34" t="str">
        <x:v>S-046</x:v>
      </x:c>
      <x:c r="B51" s="34" t="str"/>
      <x:c r="C51" s="34" t="str"/>
      <x:c r="D51" s="34" t="str"/>
      <x:c r="E51" s="34" t="str"/>
      <x:c r="F51" s="34" t="str"/>
      <x:c r="G51" s="34" t="str"/>
      <x:c r="H51" s="34" t="str"/>
      <x:c r="I51" s="34" t="str"/>
      <x:c r="J51" s="34" t="str"/>
      <x:c r="K51" s="34" t="str">
        <x:v>Index</x:v>
      </x:c>
      <x:c r="L51" s="34" t="str"/>
      <x:c r="M51" s="34" t="str"/>
      <x:c r="N51" s="34" t="str">
        <x:f>IF(OR(L51="",M51=""),"待标注",IF(L51=M51,"一致","需仲裁"))</x:f>
        <x:v>待标注</x:v>
      </x:c>
      <x:c r="O51" s="34" t="str"/>
    </x:row>
    <x:row r="52" ht="30" customHeight="1">
      <x:c r="A52" s="34" t="str">
        <x:v>S-047</x:v>
      </x:c>
      <x:c r="B52" s="34" t="str"/>
      <x:c r="C52" s="34" t="str"/>
      <x:c r="D52" s="34" t="str"/>
      <x:c r="E52" s="34" t="str"/>
      <x:c r="F52" s="34" t="str"/>
      <x:c r="G52" s="34" t="str"/>
      <x:c r="H52" s="34" t="str"/>
      <x:c r="I52" s="34" t="str"/>
      <x:c r="J52" s="34" t="str"/>
      <x:c r="K52" s="34" t="str">
        <x:v>Index</x:v>
      </x:c>
      <x:c r="L52" s="34" t="str"/>
      <x:c r="M52" s="34" t="str"/>
      <x:c r="N52" s="34" t="str">
        <x:f>IF(OR(L52="",M52=""),"待标注",IF(L52=M52,"一致","需仲裁"))</x:f>
        <x:v>待标注</x:v>
      </x:c>
      <x:c r="O52" s="34" t="str"/>
    </x:row>
    <x:row r="53" ht="30" customHeight="1">
      <x:c r="A53" s="34" t="str">
        <x:v>S-048</x:v>
      </x:c>
      <x:c r="B53" s="34" t="str"/>
      <x:c r="C53" s="34" t="str"/>
      <x:c r="D53" s="34" t="str"/>
      <x:c r="E53" s="34" t="str"/>
      <x:c r="F53" s="34" t="str"/>
      <x:c r="G53" s="34" t="str"/>
      <x:c r="H53" s="34" t="str"/>
      <x:c r="I53" s="34" t="str"/>
      <x:c r="J53" s="34" t="str"/>
      <x:c r="K53" s="34" t="str">
        <x:v>Index</x:v>
      </x:c>
      <x:c r="L53" s="34" t="str"/>
      <x:c r="M53" s="34" t="str"/>
      <x:c r="N53" s="34" t="str">
        <x:f>IF(OR(L53="",M53=""),"待标注",IF(L53=M53,"一致","需仲裁"))</x:f>
        <x:v>待标注</x:v>
      </x:c>
      <x:c r="O53" s="34" t="str"/>
    </x:row>
    <x:row r="54" ht="30" customHeight="1">
      <x:c r="A54" s="34" t="str">
        <x:v>S-049</x:v>
      </x:c>
      <x:c r="B54" s="34" t="str"/>
      <x:c r="C54" s="34" t="str"/>
      <x:c r="D54" s="34" t="str"/>
      <x:c r="E54" s="34" t="str"/>
      <x:c r="F54" s="34" t="str"/>
      <x:c r="G54" s="34" t="str"/>
      <x:c r="H54" s="34" t="str"/>
      <x:c r="I54" s="34" t="str"/>
      <x:c r="J54" s="34" t="str"/>
      <x:c r="K54" s="34" t="str">
        <x:v>Index</x:v>
      </x:c>
      <x:c r="L54" s="34" t="str"/>
      <x:c r="M54" s="34" t="str"/>
      <x:c r="N54" s="34" t="str">
        <x:f>IF(OR(L54="",M54=""),"待标注",IF(L54=M54,"一致","需仲裁"))</x:f>
        <x:v>待标注</x:v>
      </x:c>
      <x:c r="O54" s="34" t="str"/>
    </x:row>
    <x:row r="55" ht="30" customHeight="1">
      <x:c r="A55" s="34" t="str">
        <x:v>S-050</x:v>
      </x:c>
      <x:c r="B55" s="34" t="str"/>
      <x:c r="C55" s="34" t="str"/>
      <x:c r="D55" s="34" t="str"/>
      <x:c r="E55" s="34" t="str"/>
      <x:c r="F55" s="34" t="str"/>
      <x:c r="G55" s="34" t="str"/>
      <x:c r="H55" s="34" t="str"/>
      <x:c r="I55" s="34" t="str"/>
      <x:c r="J55" s="34" t="str"/>
      <x:c r="K55" s="34" t="str">
        <x:v>Index</x:v>
      </x:c>
      <x:c r="L55" s="34" t="str"/>
      <x:c r="M55" s="34" t="str"/>
      <x:c r="N55" s="34" t="str">
        <x:f>IF(OR(L55="",M55=""),"待标注",IF(L55=M55,"一致","需仲裁"))</x:f>
        <x:v>待标注</x:v>
      </x:c>
      <x:c r="O55" s="34" t="str"/>
    </x:row>
    <x:row r="56" ht="30" customHeight="1">
      <x:c r="A56" s="34" t="str">
        <x:v>S-051</x:v>
      </x:c>
      <x:c r="B56" s="34" t="str"/>
      <x:c r="C56" s="34" t="str"/>
      <x:c r="D56" s="34" t="str"/>
      <x:c r="E56" s="34" t="str"/>
      <x:c r="F56" s="34" t="str"/>
      <x:c r="G56" s="34" t="str"/>
      <x:c r="H56" s="34" t="str"/>
      <x:c r="I56" s="34" t="str"/>
      <x:c r="J56" s="34" t="str"/>
      <x:c r="K56" s="34" t="str">
        <x:v>Index</x:v>
      </x:c>
      <x:c r="L56" s="34" t="str"/>
      <x:c r="M56" s="34" t="str"/>
      <x:c r="N56" s="34" t="str">
        <x:f>IF(OR(L56="",M56=""),"待标注",IF(L56=M56,"一致","需仲裁"))</x:f>
        <x:v>待标注</x:v>
      </x:c>
      <x:c r="O56" s="34" t="str"/>
    </x:row>
    <x:row r="57" ht="30" customHeight="1">
      <x:c r="A57" s="34" t="str">
        <x:v>S-052</x:v>
      </x:c>
      <x:c r="B57" s="34" t="str"/>
      <x:c r="C57" s="34" t="str"/>
      <x:c r="D57" s="34" t="str"/>
      <x:c r="E57" s="34" t="str"/>
      <x:c r="F57" s="34" t="str"/>
      <x:c r="G57" s="34" t="str"/>
      <x:c r="H57" s="34" t="str"/>
      <x:c r="I57" s="34" t="str"/>
      <x:c r="J57" s="34" t="str"/>
      <x:c r="K57" s="34" t="str">
        <x:v>Index</x:v>
      </x:c>
      <x:c r="L57" s="34" t="str"/>
      <x:c r="M57" s="34" t="str"/>
      <x:c r="N57" s="34" t="str">
        <x:f>IF(OR(L57="",M57=""),"待标注",IF(L57=M57,"一致","需仲裁"))</x:f>
        <x:v>待标注</x:v>
      </x:c>
      <x:c r="O57" s="34" t="str"/>
    </x:row>
    <x:row r="58" ht="30" customHeight="1">
      <x:c r="A58" s="34" t="str">
        <x:v>S-053</x:v>
      </x:c>
      <x:c r="B58" s="34" t="str"/>
      <x:c r="C58" s="34" t="str"/>
      <x:c r="D58" s="34" t="str"/>
      <x:c r="E58" s="34" t="str"/>
      <x:c r="F58" s="34" t="str"/>
      <x:c r="G58" s="34" t="str"/>
      <x:c r="H58" s="34" t="str"/>
      <x:c r="I58" s="34" t="str"/>
      <x:c r="J58" s="34" t="str"/>
      <x:c r="K58" s="34" t="str">
        <x:v>Index</x:v>
      </x:c>
      <x:c r="L58" s="34" t="str"/>
      <x:c r="M58" s="34" t="str"/>
      <x:c r="N58" s="34" t="str">
        <x:f>IF(OR(L58="",M58=""),"待标注",IF(L58=M58,"一致","需仲裁"))</x:f>
        <x:v>待标注</x:v>
      </x:c>
      <x:c r="O58" s="34" t="str"/>
    </x:row>
    <x:row r="59" ht="30" customHeight="1">
      <x:c r="A59" s="34" t="str">
        <x:v>S-054</x:v>
      </x:c>
      <x:c r="B59" s="34" t="str"/>
      <x:c r="C59" s="34" t="str"/>
      <x:c r="D59" s="34" t="str"/>
      <x:c r="E59" s="34" t="str"/>
      <x:c r="F59" s="34" t="str"/>
      <x:c r="G59" s="34" t="str"/>
      <x:c r="H59" s="34" t="str"/>
      <x:c r="I59" s="34" t="str"/>
      <x:c r="J59" s="34" t="str"/>
      <x:c r="K59" s="34" t="str">
        <x:v>Index</x:v>
      </x:c>
      <x:c r="L59" s="34" t="str"/>
      <x:c r="M59" s="34" t="str"/>
      <x:c r="N59" s="34" t="str">
        <x:f>IF(OR(L59="",M59=""),"待标注",IF(L59=M59,"一致","需仲裁"))</x:f>
        <x:v>待标注</x:v>
      </x:c>
      <x:c r="O59" s="34" t="str"/>
    </x:row>
    <x:row r="60" ht="30" customHeight="1">
      <x:c r="A60" s="34" t="str">
        <x:v>S-055</x:v>
      </x:c>
      <x:c r="B60" s="34" t="str"/>
      <x:c r="C60" s="34" t="str"/>
      <x:c r="D60" s="34" t="str"/>
      <x:c r="E60" s="34" t="str"/>
      <x:c r="F60" s="34" t="str"/>
      <x:c r="G60" s="34" t="str"/>
      <x:c r="H60" s="34" t="str"/>
      <x:c r="I60" s="34" t="str"/>
      <x:c r="J60" s="34" t="str"/>
      <x:c r="K60" s="34" t="str">
        <x:v>Index</x:v>
      </x:c>
      <x:c r="L60" s="34" t="str"/>
      <x:c r="M60" s="34" t="str"/>
      <x:c r="N60" s="34" t="str">
        <x:f>IF(OR(L60="",M60=""),"待标注",IF(L60=M60,"一致","需仲裁"))</x:f>
        <x:v>待标注</x:v>
      </x:c>
      <x:c r="O60" s="34" t="str"/>
    </x:row>
    <x:row r="61" ht="30" customHeight="1">
      <x:c r="A61" s="34" t="str">
        <x:v>S-056</x:v>
      </x:c>
      <x:c r="B61" s="34" t="str"/>
      <x:c r="C61" s="34" t="str"/>
      <x:c r="D61" s="34" t="str"/>
      <x:c r="E61" s="34" t="str"/>
      <x:c r="F61" s="34" t="str"/>
      <x:c r="G61" s="34" t="str"/>
      <x:c r="H61" s="34" t="str"/>
      <x:c r="I61" s="34" t="str"/>
      <x:c r="J61" s="34" t="str"/>
      <x:c r="K61" s="34" t="str">
        <x:v>Index</x:v>
      </x:c>
      <x:c r="L61" s="34" t="str"/>
      <x:c r="M61" s="34" t="str"/>
      <x:c r="N61" s="34" t="str">
        <x:f>IF(OR(L61="",M61=""),"待标注",IF(L61=M61,"一致","需仲裁"))</x:f>
        <x:v>待标注</x:v>
      </x:c>
      <x:c r="O61" s="34" t="str"/>
    </x:row>
    <x:row r="62" ht="30" customHeight="1">
      <x:c r="A62" s="34" t="str">
        <x:v>S-057</x:v>
      </x:c>
      <x:c r="B62" s="34" t="str"/>
      <x:c r="C62" s="34" t="str"/>
      <x:c r="D62" s="34" t="str"/>
      <x:c r="E62" s="34" t="str"/>
      <x:c r="F62" s="34" t="str"/>
      <x:c r="G62" s="34" t="str"/>
      <x:c r="H62" s="34" t="str"/>
      <x:c r="I62" s="34" t="str"/>
      <x:c r="J62" s="34" t="str"/>
      <x:c r="K62" s="34" t="str">
        <x:v>Index</x:v>
      </x:c>
      <x:c r="L62" s="34" t="str"/>
      <x:c r="M62" s="34" t="str"/>
      <x:c r="N62" s="34" t="str">
        <x:f>IF(OR(L62="",M62=""),"待标注",IF(L62=M62,"一致","需仲裁"))</x:f>
        <x:v>待标注</x:v>
      </x:c>
      <x:c r="O62" s="34" t="str"/>
    </x:row>
    <x:row r="63" ht="30" customHeight="1">
      <x:c r="A63" s="34" t="str">
        <x:v>S-058</x:v>
      </x:c>
      <x:c r="B63" s="34" t="str"/>
      <x:c r="C63" s="34" t="str"/>
      <x:c r="D63" s="34" t="str"/>
      <x:c r="E63" s="34" t="str"/>
      <x:c r="F63" s="34" t="str"/>
      <x:c r="G63" s="34" t="str"/>
      <x:c r="H63" s="34" t="str"/>
      <x:c r="I63" s="34" t="str"/>
      <x:c r="J63" s="34" t="str"/>
      <x:c r="K63" s="34" t="str">
        <x:v>Index</x:v>
      </x:c>
      <x:c r="L63" s="34" t="str"/>
      <x:c r="M63" s="34" t="str"/>
      <x:c r="N63" s="34" t="str">
        <x:f>IF(OR(L63="",M63=""),"待标注",IF(L63=M63,"一致","需仲裁"))</x:f>
        <x:v>待标注</x:v>
      </x:c>
      <x:c r="O63" s="34" t="str"/>
    </x:row>
    <x:row r="64" ht="30" customHeight="1">
      <x:c r="A64" s="34" t="str">
        <x:v>S-059</x:v>
      </x:c>
      <x:c r="B64" s="34" t="str"/>
      <x:c r="C64" s="34" t="str"/>
      <x:c r="D64" s="34" t="str"/>
      <x:c r="E64" s="34" t="str"/>
      <x:c r="F64" s="34" t="str"/>
      <x:c r="G64" s="34" t="str"/>
      <x:c r="H64" s="34" t="str"/>
      <x:c r="I64" s="34" t="str"/>
      <x:c r="J64" s="34" t="str"/>
      <x:c r="K64" s="34" t="str">
        <x:v>Index</x:v>
      </x:c>
      <x:c r="L64" s="34" t="str"/>
      <x:c r="M64" s="34" t="str"/>
      <x:c r="N64" s="34" t="str">
        <x:f>IF(OR(L64="",M64=""),"待标注",IF(L64=M64,"一致","需仲裁"))</x:f>
        <x:v>待标注</x:v>
      </x:c>
      <x:c r="O64" s="34" t="str"/>
    </x:row>
    <x:row r="65" ht="30" customHeight="1">
      <x:c r="A65" s="34" t="str">
        <x:v>S-060</x:v>
      </x:c>
      <x:c r="B65" s="34" t="str"/>
      <x:c r="C65" s="34" t="str"/>
      <x:c r="D65" s="34" t="str"/>
      <x:c r="E65" s="34" t="str"/>
      <x:c r="F65" s="34" t="str"/>
      <x:c r="G65" s="34" t="str"/>
      <x:c r="H65" s="34" t="str"/>
      <x:c r="I65" s="34" t="str"/>
      <x:c r="J65" s="34" t="str"/>
      <x:c r="K65" s="34" t="str">
        <x:v>Index</x:v>
      </x:c>
      <x:c r="L65" s="34" t="str"/>
      <x:c r="M65" s="34" t="str"/>
      <x:c r="N65" s="34" t="str">
        <x:f>IF(OR(L65="",M65=""),"待标注",IF(L65=M65,"一致","需仲裁"))</x:f>
        <x:v>待标注</x:v>
      </x:c>
      <x:c r="O65" s="34" t="str"/>
    </x:row>
    <x:row r="66" ht="30" customHeight="1">
      <x:c r="A66" s="34" t="str">
        <x:v>S-061</x:v>
      </x:c>
      <x:c r="B66" s="34" t="str"/>
      <x:c r="C66" s="34" t="str"/>
      <x:c r="D66" s="34" t="str"/>
      <x:c r="E66" s="34" t="str"/>
      <x:c r="F66" s="34" t="str"/>
      <x:c r="G66" s="34" t="str"/>
      <x:c r="H66" s="34" t="str"/>
      <x:c r="I66" s="34" t="str"/>
      <x:c r="J66" s="34" t="str"/>
      <x:c r="K66" s="34" t="str">
        <x:v>Blind Test</x:v>
      </x:c>
      <x:c r="L66" s="34" t="str"/>
      <x:c r="M66" s="34" t="str"/>
      <x:c r="N66" s="34" t="str">
        <x:f>IF(OR(L66="",M66=""),"待标注",IF(L66=M66,"一致","需仲裁"))</x:f>
        <x:v>待标注</x:v>
      </x:c>
      <x:c r="O66" s="34" t="str"/>
    </x:row>
    <x:row r="67" ht="30" customHeight="1">
      <x:c r="A67" s="34" t="str">
        <x:v>S-062</x:v>
      </x:c>
      <x:c r="B67" s="34" t="str"/>
      <x:c r="C67" s="34" t="str"/>
      <x:c r="D67" s="34" t="str"/>
      <x:c r="E67" s="34" t="str"/>
      <x:c r="F67" s="34" t="str"/>
      <x:c r="G67" s="34" t="str"/>
      <x:c r="H67" s="34" t="str"/>
      <x:c r="I67" s="34" t="str"/>
      <x:c r="J67" s="34" t="str"/>
      <x:c r="K67" s="34" t="str">
        <x:v>Blind Test</x:v>
      </x:c>
      <x:c r="L67" s="34" t="str"/>
      <x:c r="M67" s="34" t="str"/>
      <x:c r="N67" s="34" t="str">
        <x:f>IF(OR(L67="",M67=""),"待标注",IF(L67=M67,"一致","需仲裁"))</x:f>
        <x:v>待标注</x:v>
      </x:c>
      <x:c r="O67" s="34" t="str"/>
    </x:row>
    <x:row r="68" ht="30" customHeight="1">
      <x:c r="A68" s="34" t="str">
        <x:v>S-063</x:v>
      </x:c>
      <x:c r="B68" s="34" t="str"/>
      <x:c r="C68" s="34" t="str"/>
      <x:c r="D68" s="34" t="str"/>
      <x:c r="E68" s="34" t="str"/>
      <x:c r="F68" s="34" t="str"/>
      <x:c r="G68" s="34" t="str"/>
      <x:c r="H68" s="34" t="str"/>
      <x:c r="I68" s="34" t="str"/>
      <x:c r="J68" s="34" t="str"/>
      <x:c r="K68" s="34" t="str">
        <x:v>Blind Test</x:v>
      </x:c>
      <x:c r="L68" s="34" t="str"/>
      <x:c r="M68" s="34" t="str"/>
      <x:c r="N68" s="34" t="str">
        <x:f>IF(OR(L68="",M68=""),"待标注",IF(L68=M68,"一致","需仲裁"))</x:f>
        <x:v>待标注</x:v>
      </x:c>
      <x:c r="O68" s="34" t="str"/>
    </x:row>
    <x:row r="69" ht="30" customHeight="1">
      <x:c r="A69" s="34" t="str">
        <x:v>S-064</x:v>
      </x:c>
      <x:c r="B69" s="34" t="str"/>
      <x:c r="C69" s="34" t="str"/>
      <x:c r="D69" s="34" t="str"/>
      <x:c r="E69" s="34" t="str"/>
      <x:c r="F69" s="34" t="str"/>
      <x:c r="G69" s="34" t="str"/>
      <x:c r="H69" s="34" t="str"/>
      <x:c r="I69" s="34" t="str"/>
      <x:c r="J69" s="34" t="str"/>
      <x:c r="K69" s="34" t="str">
        <x:v>Blind Test</x:v>
      </x:c>
      <x:c r="L69" s="34" t="str"/>
      <x:c r="M69" s="34" t="str"/>
      <x:c r="N69" s="34" t="str">
        <x:f>IF(OR(L69="",M69=""),"待标注",IF(L69=M69,"一致","需仲裁"))</x:f>
        <x:v>待标注</x:v>
      </x:c>
      <x:c r="O69" s="34" t="str"/>
    </x:row>
    <x:row r="70" ht="30" customHeight="1">
      <x:c r="A70" s="34" t="str">
        <x:v>S-065</x:v>
      </x:c>
      <x:c r="B70" s="34" t="str"/>
      <x:c r="C70" s="34" t="str"/>
      <x:c r="D70" s="34" t="str"/>
      <x:c r="E70" s="34" t="str"/>
      <x:c r="F70" s="34" t="str"/>
      <x:c r="G70" s="34" t="str"/>
      <x:c r="H70" s="34" t="str"/>
      <x:c r="I70" s="34" t="str"/>
      <x:c r="J70" s="34" t="str"/>
      <x:c r="K70" s="34" t="str">
        <x:v>Blind Test</x:v>
      </x:c>
      <x:c r="L70" s="34" t="str"/>
      <x:c r="M70" s="34" t="str"/>
      <x:c r="N70" s="34" t="str">
        <x:f>IF(OR(L70="",M70=""),"待标注",IF(L70=M70,"一致","需仲裁"))</x:f>
        <x:v>待标注</x:v>
      </x:c>
      <x:c r="O70" s="34" t="str"/>
    </x:row>
    <x:row r="71" ht="30" customHeight="1">
      <x:c r="A71" s="34" t="str">
        <x:v>S-066</x:v>
      </x:c>
      <x:c r="B71" s="34" t="str"/>
      <x:c r="C71" s="34" t="str"/>
      <x:c r="D71" s="34" t="str"/>
      <x:c r="E71" s="34" t="str"/>
      <x:c r="F71" s="34" t="str"/>
      <x:c r="G71" s="34" t="str"/>
      <x:c r="H71" s="34" t="str"/>
      <x:c r="I71" s="34" t="str"/>
      <x:c r="J71" s="34" t="str"/>
      <x:c r="K71" s="34" t="str">
        <x:v>Blind Test</x:v>
      </x:c>
      <x:c r="L71" s="34" t="str"/>
      <x:c r="M71" s="34" t="str"/>
      <x:c r="N71" s="34" t="str">
        <x:f>IF(OR(L71="",M71=""),"待标注",IF(L71=M71,"一致","需仲裁"))</x:f>
        <x:v>待标注</x:v>
      </x:c>
      <x:c r="O71" s="34" t="str"/>
    </x:row>
    <x:row r="72" ht="30" customHeight="1">
      <x:c r="A72" s="34" t="str">
        <x:v>S-067</x:v>
      </x:c>
      <x:c r="B72" s="34" t="str"/>
      <x:c r="C72" s="34" t="str"/>
      <x:c r="D72" s="34" t="str"/>
      <x:c r="E72" s="34" t="str"/>
      <x:c r="F72" s="34" t="str"/>
      <x:c r="G72" s="34" t="str"/>
      <x:c r="H72" s="34" t="str"/>
      <x:c r="I72" s="34" t="str"/>
      <x:c r="J72" s="34" t="str"/>
      <x:c r="K72" s="34" t="str">
        <x:v>Blind Test</x:v>
      </x:c>
      <x:c r="L72" s="34" t="str"/>
      <x:c r="M72" s="34" t="str"/>
      <x:c r="N72" s="34" t="str">
        <x:f>IF(OR(L72="",M72=""),"待标注",IF(L72=M72,"一致","需仲裁"))</x:f>
        <x:v>待标注</x:v>
      </x:c>
      <x:c r="O72" s="34" t="str"/>
    </x:row>
    <x:row r="73" ht="30" customHeight="1">
      <x:c r="A73" s="34" t="str">
        <x:v>S-068</x:v>
      </x:c>
      <x:c r="B73" s="34" t="str"/>
      <x:c r="C73" s="34" t="str"/>
      <x:c r="D73" s="34" t="str"/>
      <x:c r="E73" s="34" t="str"/>
      <x:c r="F73" s="34" t="str"/>
      <x:c r="G73" s="34" t="str"/>
      <x:c r="H73" s="34" t="str"/>
      <x:c r="I73" s="34" t="str"/>
      <x:c r="J73" s="34" t="str"/>
      <x:c r="K73" s="34" t="str">
        <x:v>Blind Test</x:v>
      </x:c>
      <x:c r="L73" s="34" t="str"/>
      <x:c r="M73" s="34" t="str"/>
      <x:c r="N73" s="34" t="str">
        <x:f>IF(OR(L73="",M73=""),"待标注",IF(L73=M73,"一致","需仲裁"))</x:f>
        <x:v>待标注</x:v>
      </x:c>
      <x:c r="O73" s="34" t="str"/>
    </x:row>
    <x:row r="74" ht="30" customHeight="1">
      <x:c r="A74" s="34" t="str">
        <x:v>S-069</x:v>
      </x:c>
      <x:c r="B74" s="34" t="str"/>
      <x:c r="C74" s="34" t="str"/>
      <x:c r="D74" s="34" t="str"/>
      <x:c r="E74" s="34" t="str"/>
      <x:c r="F74" s="34" t="str"/>
      <x:c r="G74" s="34" t="str"/>
      <x:c r="H74" s="34" t="str"/>
      <x:c r="I74" s="34" t="str"/>
      <x:c r="J74" s="34" t="str"/>
      <x:c r="K74" s="34" t="str">
        <x:v>Blind Test</x:v>
      </x:c>
      <x:c r="L74" s="34" t="str"/>
      <x:c r="M74" s="34" t="str"/>
      <x:c r="N74" s="34" t="str">
        <x:f>IF(OR(L74="",M74=""),"待标注",IF(L74=M74,"一致","需仲裁"))</x:f>
        <x:v>待标注</x:v>
      </x:c>
      <x:c r="O74" s="34" t="str"/>
    </x:row>
    <x:row r="75" ht="30" customHeight="1">
      <x:c r="A75" s="34" t="str">
        <x:v>S-070</x:v>
      </x:c>
      <x:c r="B75" s="34" t="str"/>
      <x:c r="C75" s="34" t="str"/>
      <x:c r="D75" s="34" t="str"/>
      <x:c r="E75" s="34" t="str"/>
      <x:c r="F75" s="34" t="str"/>
      <x:c r="G75" s="34" t="str"/>
      <x:c r="H75" s="34" t="str"/>
      <x:c r="I75" s="34" t="str"/>
      <x:c r="J75" s="34" t="str"/>
      <x:c r="K75" s="34" t="str">
        <x:v>Blind Test</x:v>
      </x:c>
      <x:c r="L75" s="34" t="str"/>
      <x:c r="M75" s="34" t="str"/>
      <x:c r="N75" s="34" t="str">
        <x:f>IF(OR(L75="",M75=""),"待标注",IF(L75=M75,"一致","需仲裁"))</x:f>
        <x:v>待标注</x:v>
      </x:c>
      <x:c r="O75" s="34" t="str"/>
    </x:row>
    <x:row r="76" ht="30" customHeight="1">
      <x:c r="A76" s="34" t="str">
        <x:v>S-071</x:v>
      </x:c>
      <x:c r="B76" s="34" t="str"/>
      <x:c r="C76" s="34" t="str"/>
      <x:c r="D76" s="34" t="str"/>
      <x:c r="E76" s="34" t="str"/>
      <x:c r="F76" s="34" t="str"/>
      <x:c r="G76" s="34" t="str"/>
      <x:c r="H76" s="34" t="str"/>
      <x:c r="I76" s="34" t="str"/>
      <x:c r="J76" s="34" t="str"/>
      <x:c r="K76" s="34" t="str">
        <x:v>Blind Test</x:v>
      </x:c>
      <x:c r="L76" s="34" t="str"/>
      <x:c r="M76" s="34" t="str"/>
      <x:c r="N76" s="34" t="str">
        <x:f>IF(OR(L76="",M76=""),"待标注",IF(L76=M76,"一致","需仲裁"))</x:f>
        <x:v>待标注</x:v>
      </x:c>
      <x:c r="O76" s="34" t="str"/>
    </x:row>
    <x:row r="77" ht="30" customHeight="1">
      <x:c r="A77" s="34" t="str">
        <x:v>S-072</x:v>
      </x:c>
      <x:c r="B77" s="34" t="str"/>
      <x:c r="C77" s="34" t="str"/>
      <x:c r="D77" s="34" t="str"/>
      <x:c r="E77" s="34" t="str"/>
      <x:c r="F77" s="34" t="str"/>
      <x:c r="G77" s="34" t="str"/>
      <x:c r="H77" s="34" t="str"/>
      <x:c r="I77" s="34" t="str"/>
      <x:c r="J77" s="34" t="str"/>
      <x:c r="K77" s="34" t="str">
        <x:v>Blind Test</x:v>
      </x:c>
      <x:c r="L77" s="34" t="str"/>
      <x:c r="M77" s="34" t="str"/>
      <x:c r="N77" s="34" t="str">
        <x:f>IF(OR(L77="",M77=""),"待标注",IF(L77=M77,"一致","需仲裁"))</x:f>
        <x:v>待标注</x:v>
      </x:c>
      <x:c r="O77" s="34" t="str"/>
    </x:row>
    <x:row r="78" ht="30" customHeight="1">
      <x:c r="A78" s="34" t="str">
        <x:v>S-073</x:v>
      </x:c>
      <x:c r="B78" s="34" t="str"/>
      <x:c r="C78" s="34" t="str"/>
      <x:c r="D78" s="34" t="str"/>
      <x:c r="E78" s="34" t="str"/>
      <x:c r="F78" s="34" t="str"/>
      <x:c r="G78" s="34" t="str"/>
      <x:c r="H78" s="34" t="str"/>
      <x:c r="I78" s="34" t="str"/>
      <x:c r="J78" s="34" t="str"/>
      <x:c r="K78" s="34" t="str">
        <x:v>Blind Test</x:v>
      </x:c>
      <x:c r="L78" s="34" t="str"/>
      <x:c r="M78" s="34" t="str"/>
      <x:c r="N78" s="34" t="str">
        <x:f>IF(OR(L78="",M78=""),"待标注",IF(L78=M78,"一致","需仲裁"))</x:f>
        <x:v>待标注</x:v>
      </x:c>
      <x:c r="O78" s="34" t="str"/>
    </x:row>
    <x:row r="79" ht="30" customHeight="1">
      <x:c r="A79" s="34" t="str">
        <x:v>S-074</x:v>
      </x:c>
      <x:c r="B79" s="34" t="str"/>
      <x:c r="C79" s="34" t="str"/>
      <x:c r="D79" s="34" t="str"/>
      <x:c r="E79" s="34" t="str"/>
      <x:c r="F79" s="34" t="str"/>
      <x:c r="G79" s="34" t="str"/>
      <x:c r="H79" s="34" t="str"/>
      <x:c r="I79" s="34" t="str"/>
      <x:c r="J79" s="34" t="str"/>
      <x:c r="K79" s="34" t="str">
        <x:v>Blind Test</x:v>
      </x:c>
      <x:c r="L79" s="34" t="str"/>
      <x:c r="M79" s="34" t="str"/>
      <x:c r="N79" s="34" t="str">
        <x:f>IF(OR(L79="",M79=""),"待标注",IF(L79=M79,"一致","需仲裁"))</x:f>
        <x:v>待标注</x:v>
      </x:c>
      <x:c r="O79" s="34" t="str"/>
    </x:row>
    <x:row r="80" ht="30" customHeight="1">
      <x:c r="A80" s="34" t="str">
        <x:v>S-075</x:v>
      </x:c>
      <x:c r="B80" s="34" t="str"/>
      <x:c r="C80" s="34" t="str"/>
      <x:c r="D80" s="34" t="str"/>
      <x:c r="E80" s="34" t="str"/>
      <x:c r="F80" s="34" t="str"/>
      <x:c r="G80" s="34" t="str"/>
      <x:c r="H80" s="34" t="str"/>
      <x:c r="I80" s="34" t="str"/>
      <x:c r="J80" s="34" t="str"/>
      <x:c r="K80" s="34" t="str">
        <x:v>Blind Test</x:v>
      </x:c>
      <x:c r="L80" s="34" t="str"/>
      <x:c r="M80" s="34" t="str"/>
      <x:c r="N80" s="34" t="str">
        <x:f>IF(OR(L80="",M80=""),"待标注",IF(L80=M80,"一致","需仲裁"))</x:f>
        <x:v>待标注</x:v>
      </x:c>
      <x:c r="O80" s="34" t="str"/>
    </x:row>
    <x:row r="81" ht="30" customHeight="1">
      <x:c r="A81" s="34" t="str">
        <x:v>S-076</x:v>
      </x:c>
      <x:c r="B81" s="34" t="str"/>
      <x:c r="C81" s="34" t="str"/>
      <x:c r="D81" s="34" t="str"/>
      <x:c r="E81" s="34" t="str"/>
      <x:c r="F81" s="34" t="str"/>
      <x:c r="G81" s="34" t="str"/>
      <x:c r="H81" s="34" t="str"/>
      <x:c r="I81" s="34" t="str"/>
      <x:c r="J81" s="34" t="str"/>
      <x:c r="K81" s="34" t="str">
        <x:v>Blind Test</x:v>
      </x:c>
      <x:c r="L81" s="34" t="str"/>
      <x:c r="M81" s="34" t="str"/>
      <x:c r="N81" s="34" t="str">
        <x:f>IF(OR(L81="",M81=""),"待标注",IF(L81=M81,"一致","需仲裁"))</x:f>
        <x:v>待标注</x:v>
      </x:c>
      <x:c r="O81" s="34" t="str"/>
    </x:row>
    <x:row r="82" ht="30" customHeight="1">
      <x:c r="A82" s="34" t="str">
        <x:v>S-077</x:v>
      </x:c>
      <x:c r="B82" s="34" t="str"/>
      <x:c r="C82" s="34" t="str"/>
      <x:c r="D82" s="34" t="str"/>
      <x:c r="E82" s="34" t="str"/>
      <x:c r="F82" s="34" t="str"/>
      <x:c r="G82" s="34" t="str"/>
      <x:c r="H82" s="34" t="str"/>
      <x:c r="I82" s="34" t="str"/>
      <x:c r="J82" s="34" t="str"/>
      <x:c r="K82" s="34" t="str">
        <x:v>Blind Test</x:v>
      </x:c>
      <x:c r="L82" s="34" t="str"/>
      <x:c r="M82" s="34" t="str"/>
      <x:c r="N82" s="34" t="str">
        <x:f>IF(OR(L82="",M82=""),"待标注",IF(L82=M82,"一致","需仲裁"))</x:f>
        <x:v>待标注</x:v>
      </x:c>
      <x:c r="O82" s="34" t="str"/>
    </x:row>
    <x:row r="83" ht="30" customHeight="1">
      <x:c r="A83" s="34" t="str">
        <x:v>S-078</x:v>
      </x:c>
      <x:c r="B83" s="34" t="str"/>
      <x:c r="C83" s="34" t="str"/>
      <x:c r="D83" s="34" t="str"/>
      <x:c r="E83" s="34" t="str"/>
      <x:c r="F83" s="34" t="str"/>
      <x:c r="G83" s="34" t="str"/>
      <x:c r="H83" s="34" t="str"/>
      <x:c r="I83" s="34" t="str"/>
      <x:c r="J83" s="34" t="str"/>
      <x:c r="K83" s="34" t="str">
        <x:v>Blind Test</x:v>
      </x:c>
      <x:c r="L83" s="34" t="str"/>
      <x:c r="M83" s="34" t="str"/>
      <x:c r="N83" s="34" t="str">
        <x:f>IF(OR(L83="",M83=""),"待标注",IF(L83=M83,"一致","需仲裁"))</x:f>
        <x:v>待标注</x:v>
      </x:c>
      <x:c r="O83" s="34" t="str"/>
    </x:row>
    <x:row r="84" ht="30" customHeight="1">
      <x:c r="A84" s="34" t="str">
        <x:v>S-079</x:v>
      </x:c>
      <x:c r="B84" s="34" t="str"/>
      <x:c r="C84" s="34" t="str"/>
      <x:c r="D84" s="34" t="str"/>
      <x:c r="E84" s="34" t="str"/>
      <x:c r="F84" s="34" t="str"/>
      <x:c r="G84" s="34" t="str"/>
      <x:c r="H84" s="34" t="str"/>
      <x:c r="I84" s="34" t="str"/>
      <x:c r="J84" s="34" t="str"/>
      <x:c r="K84" s="34" t="str">
        <x:v>Blind Test</x:v>
      </x:c>
      <x:c r="L84" s="34" t="str"/>
      <x:c r="M84" s="34" t="str"/>
      <x:c r="N84" s="34" t="str">
        <x:f>IF(OR(L84="",M84=""),"待标注",IF(L84=M84,"一致","需仲裁"))</x:f>
        <x:v>待标注</x:v>
      </x:c>
      <x:c r="O84" s="34" t="str"/>
    </x:row>
    <x:row r="85" ht="30" customHeight="1">
      <x:c r="A85" s="34" t="str">
        <x:v>S-080</x:v>
      </x:c>
      <x:c r="B85" s="34" t="str"/>
      <x:c r="C85" s="34" t="str"/>
      <x:c r="D85" s="34" t="str"/>
      <x:c r="E85" s="34" t="str"/>
      <x:c r="F85" s="34" t="str"/>
      <x:c r="G85" s="34" t="str"/>
      <x:c r="H85" s="34" t="str"/>
      <x:c r="I85" s="34" t="str"/>
      <x:c r="J85" s="34" t="str"/>
      <x:c r="K85" s="34" t="str">
        <x:v>Blind Test</x:v>
      </x:c>
      <x:c r="L85" s="34" t="str"/>
      <x:c r="M85" s="34" t="str"/>
      <x:c r="N85" s="34" t="str">
        <x:f>IF(OR(L85="",M85=""),"待标注",IF(L85=M85,"一致","需仲裁"))</x:f>
        <x:v>待标注</x:v>
      </x:c>
      <x:c r="O85" s="34" t="str"/>
    </x:row>
    <x:row r="86" ht="30" customHeight="1">
      <x:c r="A86" s="34" t="str">
        <x:v>S-081</x:v>
      </x:c>
      <x:c r="B86" s="34" t="str"/>
      <x:c r="C86" s="34" t="str"/>
      <x:c r="D86" s="34" t="str"/>
      <x:c r="E86" s="34" t="str"/>
      <x:c r="F86" s="34" t="str"/>
      <x:c r="G86" s="34" t="str"/>
      <x:c r="H86" s="34" t="str"/>
      <x:c r="I86" s="34" t="str"/>
      <x:c r="J86" s="34" t="str"/>
      <x:c r="K86" s="34" t="str">
        <x:v>Blind Test</x:v>
      </x:c>
      <x:c r="L86" s="34" t="str"/>
      <x:c r="M86" s="34" t="str"/>
      <x:c r="N86" s="34" t="str">
        <x:f>IF(OR(L86="",M86=""),"待标注",IF(L86=M86,"一致","需仲裁"))</x:f>
        <x:v>待标注</x:v>
      </x:c>
      <x:c r="O86" s="34" t="str"/>
    </x:row>
    <x:row r="87" ht="30" customHeight="1">
      <x:c r="A87" s="34" t="str">
        <x:v>S-082</x:v>
      </x:c>
      <x:c r="B87" s="34" t="str"/>
      <x:c r="C87" s="34" t="str"/>
      <x:c r="D87" s="34" t="str"/>
      <x:c r="E87" s="34" t="str"/>
      <x:c r="F87" s="34" t="str"/>
      <x:c r="G87" s="34" t="str"/>
      <x:c r="H87" s="34" t="str"/>
      <x:c r="I87" s="34" t="str"/>
      <x:c r="J87" s="34" t="str"/>
      <x:c r="K87" s="34" t="str">
        <x:v>Blind Test</x:v>
      </x:c>
      <x:c r="L87" s="34" t="str"/>
      <x:c r="M87" s="34" t="str"/>
      <x:c r="N87" s="34" t="str">
        <x:f>IF(OR(L87="",M87=""),"待标注",IF(L87=M87,"一致","需仲裁"))</x:f>
        <x:v>待标注</x:v>
      </x:c>
      <x:c r="O87" s="34" t="str"/>
    </x:row>
    <x:row r="88" ht="30" customHeight="1">
      <x:c r="A88" s="34" t="str">
        <x:v>S-083</x:v>
      </x:c>
      <x:c r="B88" s="34" t="str"/>
      <x:c r="C88" s="34" t="str"/>
      <x:c r="D88" s="34" t="str"/>
      <x:c r="E88" s="34" t="str"/>
      <x:c r="F88" s="34" t="str"/>
      <x:c r="G88" s="34" t="str"/>
      <x:c r="H88" s="34" t="str"/>
      <x:c r="I88" s="34" t="str"/>
      <x:c r="J88" s="34" t="str"/>
      <x:c r="K88" s="34" t="str">
        <x:v>Blind Test</x:v>
      </x:c>
      <x:c r="L88" s="34" t="str"/>
      <x:c r="M88" s="34" t="str"/>
      <x:c r="N88" s="34" t="str">
        <x:f>IF(OR(L88="",M88=""),"待标注",IF(L88=M88,"一致","需仲裁"))</x:f>
        <x:v>待标注</x:v>
      </x:c>
      <x:c r="O88" s="34" t="str"/>
    </x:row>
    <x:row r="89" ht="30" customHeight="1">
      <x:c r="A89" s="34" t="str">
        <x:v>S-084</x:v>
      </x:c>
      <x:c r="B89" s="34" t="str"/>
      <x:c r="C89" s="34" t="str"/>
      <x:c r="D89" s="34" t="str"/>
      <x:c r="E89" s="34" t="str"/>
      <x:c r="F89" s="34" t="str"/>
      <x:c r="G89" s="34" t="str"/>
      <x:c r="H89" s="34" t="str"/>
      <x:c r="I89" s="34" t="str"/>
      <x:c r="J89" s="34" t="str"/>
      <x:c r="K89" s="34" t="str">
        <x:v>Blind Test</x:v>
      </x:c>
      <x:c r="L89" s="34" t="str"/>
      <x:c r="M89" s="34" t="str"/>
      <x:c r="N89" s="34" t="str">
        <x:f>IF(OR(L89="",M89=""),"待标注",IF(L89=M89,"一致","需仲裁"))</x:f>
        <x:v>待标注</x:v>
      </x:c>
      <x:c r="O89" s="34" t="str"/>
    </x:row>
    <x:row r="90" ht="30" customHeight="1">
      <x:c r="A90" s="34" t="str">
        <x:v>S-085</x:v>
      </x:c>
      <x:c r="B90" s="34" t="str"/>
      <x:c r="C90" s="34" t="str"/>
      <x:c r="D90" s="34" t="str"/>
      <x:c r="E90" s="34" t="str"/>
      <x:c r="F90" s="34" t="str"/>
      <x:c r="G90" s="34" t="str"/>
      <x:c r="H90" s="34" t="str"/>
      <x:c r="I90" s="34" t="str"/>
      <x:c r="J90" s="34" t="str"/>
      <x:c r="K90" s="34" t="str">
        <x:v>Blind Test</x:v>
      </x:c>
      <x:c r="L90" s="34" t="str"/>
      <x:c r="M90" s="34" t="str"/>
      <x:c r="N90" s="34" t="str">
        <x:f>IF(OR(L90="",M90=""),"待标注",IF(L90=M90,"一致","需仲裁"))</x:f>
        <x:v>待标注</x:v>
      </x:c>
      <x:c r="O90" s="34" t="str"/>
    </x:row>
    <x:row r="91" ht="30" customHeight="1">
      <x:c r="A91" s="34" t="str">
        <x:v>S-086</x:v>
      </x:c>
      <x:c r="B91" s="34" t="str"/>
      <x:c r="C91" s="34" t="str"/>
      <x:c r="D91" s="34" t="str"/>
      <x:c r="E91" s="34" t="str"/>
      <x:c r="F91" s="34" t="str"/>
      <x:c r="G91" s="34" t="str"/>
      <x:c r="H91" s="34" t="str"/>
      <x:c r="I91" s="34" t="str"/>
      <x:c r="J91" s="34" t="str"/>
      <x:c r="K91" s="34" t="str">
        <x:v>Blind Test</x:v>
      </x:c>
      <x:c r="L91" s="34" t="str"/>
      <x:c r="M91" s="34" t="str"/>
      <x:c r="N91" s="34" t="str">
        <x:f>IF(OR(L91="",M91=""),"待标注",IF(L91=M91,"一致","需仲裁"))</x:f>
        <x:v>待标注</x:v>
      </x:c>
      <x:c r="O91" s="34" t="str"/>
    </x:row>
    <x:row r="92" ht="30" customHeight="1">
      <x:c r="A92" s="34" t="str">
        <x:v>S-087</x:v>
      </x:c>
      <x:c r="B92" s="34" t="str"/>
      <x:c r="C92" s="34" t="str"/>
      <x:c r="D92" s="34" t="str"/>
      <x:c r="E92" s="34" t="str"/>
      <x:c r="F92" s="34" t="str"/>
      <x:c r="G92" s="34" t="str"/>
      <x:c r="H92" s="34" t="str"/>
      <x:c r="I92" s="34" t="str"/>
      <x:c r="J92" s="34" t="str"/>
      <x:c r="K92" s="34" t="str">
        <x:v>Blind Test</x:v>
      </x:c>
      <x:c r="L92" s="34" t="str"/>
      <x:c r="M92" s="34" t="str"/>
      <x:c r="N92" s="34" t="str">
        <x:f>IF(OR(L92="",M92=""),"待标注",IF(L92=M92,"一致","需仲裁"))</x:f>
        <x:v>待标注</x:v>
      </x:c>
      <x:c r="O92" s="34" t="str"/>
    </x:row>
    <x:row r="93" ht="30" customHeight="1">
      <x:c r="A93" s="34" t="str">
        <x:v>S-088</x:v>
      </x:c>
      <x:c r="B93" s="34" t="str"/>
      <x:c r="C93" s="34" t="str"/>
      <x:c r="D93" s="34" t="str"/>
      <x:c r="E93" s="34" t="str"/>
      <x:c r="F93" s="34" t="str"/>
      <x:c r="G93" s="34" t="str"/>
      <x:c r="H93" s="34" t="str"/>
      <x:c r="I93" s="34" t="str"/>
      <x:c r="J93" s="34" t="str"/>
      <x:c r="K93" s="34" t="str">
        <x:v>Blind Test</x:v>
      </x:c>
      <x:c r="L93" s="34" t="str"/>
      <x:c r="M93" s="34" t="str"/>
      <x:c r="N93" s="34" t="str">
        <x:f>IF(OR(L93="",M93=""),"待标注",IF(L93=M93,"一致","需仲裁"))</x:f>
        <x:v>待标注</x:v>
      </x:c>
      <x:c r="O93" s="34" t="str"/>
    </x:row>
    <x:row r="94" ht="30" customHeight="1">
      <x:c r="A94" s="34" t="str">
        <x:v>S-089</x:v>
      </x:c>
      <x:c r="B94" s="34" t="str"/>
      <x:c r="C94" s="34" t="str"/>
      <x:c r="D94" s="34" t="str"/>
      <x:c r="E94" s="34" t="str"/>
      <x:c r="F94" s="34" t="str"/>
      <x:c r="G94" s="34" t="str"/>
      <x:c r="H94" s="34" t="str"/>
      <x:c r="I94" s="34" t="str"/>
      <x:c r="J94" s="34" t="str"/>
      <x:c r="K94" s="34" t="str">
        <x:v>Blind Test</x:v>
      </x:c>
      <x:c r="L94" s="34" t="str"/>
      <x:c r="M94" s="34" t="str"/>
      <x:c r="N94" s="34" t="str">
        <x:f>IF(OR(L94="",M94=""),"待标注",IF(L94=M94,"一致","需仲裁"))</x:f>
        <x:v>待标注</x:v>
      </x:c>
      <x:c r="O94" s="34" t="str"/>
    </x:row>
    <x:row r="95" ht="30" customHeight="1">
      <x:c r="A95" s="34" t="str">
        <x:v>S-090</x:v>
      </x:c>
      <x:c r="B95" s="34" t="str"/>
      <x:c r="C95" s="34" t="str"/>
      <x:c r="D95" s="34" t="str"/>
      <x:c r="E95" s="34" t="str"/>
      <x:c r="F95" s="34" t="str"/>
      <x:c r="G95" s="34" t="str"/>
      <x:c r="H95" s="34" t="str"/>
      <x:c r="I95" s="34" t="str"/>
      <x:c r="J95" s="34" t="str"/>
      <x:c r="K95" s="34" t="str">
        <x:v>Blind Test</x:v>
      </x:c>
      <x:c r="L95" s="34" t="str"/>
      <x:c r="M95" s="34" t="str"/>
      <x:c r="N95" s="34" t="str">
        <x:f>IF(OR(L95="",M95=""),"待标注",IF(L95=M95,"一致","需仲裁"))</x:f>
        <x:v>待标注</x:v>
      </x:c>
      <x:c r="O95" s="34" t="str"/>
    </x:row>
    <x:row r="96" ht="30" customHeight="1">
      <x:c r="A96" s="34" t="str">
        <x:v>S-091</x:v>
      </x:c>
      <x:c r="B96" s="34" t="str"/>
      <x:c r="C96" s="34" t="str"/>
      <x:c r="D96" s="34" t="str"/>
      <x:c r="E96" s="34" t="str"/>
      <x:c r="F96" s="34" t="str"/>
      <x:c r="G96" s="34" t="str"/>
      <x:c r="H96" s="34" t="str"/>
      <x:c r="I96" s="34" t="str"/>
      <x:c r="J96" s="34" t="str"/>
      <x:c r="K96" s="34" t="str">
        <x:v>Blind Test</x:v>
      </x:c>
      <x:c r="L96" s="34" t="str"/>
      <x:c r="M96" s="34" t="str"/>
      <x:c r="N96" s="34" t="str">
        <x:f>IF(OR(L96="",M96=""),"待标注",IF(L96=M96,"一致","需仲裁"))</x:f>
        <x:v>待标注</x:v>
      </x:c>
      <x:c r="O96" s="34" t="str"/>
    </x:row>
    <x:row r="97" ht="30" customHeight="1">
      <x:c r="A97" s="34" t="str">
        <x:v>S-092</x:v>
      </x:c>
      <x:c r="B97" s="34" t="str"/>
      <x:c r="C97" s="34" t="str"/>
      <x:c r="D97" s="34" t="str"/>
      <x:c r="E97" s="34" t="str"/>
      <x:c r="F97" s="34" t="str"/>
      <x:c r="G97" s="34" t="str"/>
      <x:c r="H97" s="34" t="str"/>
      <x:c r="I97" s="34" t="str"/>
      <x:c r="J97" s="34" t="str"/>
      <x:c r="K97" s="34" t="str">
        <x:v>Blind Test</x:v>
      </x:c>
      <x:c r="L97" s="34" t="str"/>
      <x:c r="M97" s="34" t="str"/>
      <x:c r="N97" s="34" t="str">
        <x:f>IF(OR(L97="",M97=""),"待标注",IF(L97=M97,"一致","需仲裁"))</x:f>
        <x:v>待标注</x:v>
      </x:c>
      <x:c r="O97" s="34" t="str"/>
    </x:row>
    <x:row r="98" ht="30" customHeight="1">
      <x:c r="A98" s="34" t="str">
        <x:v>S-093</x:v>
      </x:c>
      <x:c r="B98" s="34" t="str"/>
      <x:c r="C98" s="34" t="str"/>
      <x:c r="D98" s="34" t="str"/>
      <x:c r="E98" s="34" t="str"/>
      <x:c r="F98" s="34" t="str"/>
      <x:c r="G98" s="34" t="str"/>
      <x:c r="H98" s="34" t="str"/>
      <x:c r="I98" s="34" t="str"/>
      <x:c r="J98" s="34" t="str"/>
      <x:c r="K98" s="34" t="str">
        <x:v>Blind Test</x:v>
      </x:c>
      <x:c r="L98" s="34" t="str"/>
      <x:c r="M98" s="34" t="str"/>
      <x:c r="N98" s="34" t="str">
        <x:f>IF(OR(L98="",M98=""),"待标注",IF(L98=M98,"一致","需仲裁"))</x:f>
        <x:v>待标注</x:v>
      </x:c>
      <x:c r="O98" s="34" t="str"/>
    </x:row>
    <x:row r="99" ht="30" customHeight="1">
      <x:c r="A99" s="34" t="str">
        <x:v>S-094</x:v>
      </x:c>
      <x:c r="B99" s="34" t="str"/>
      <x:c r="C99" s="34" t="str"/>
      <x:c r="D99" s="34" t="str"/>
      <x:c r="E99" s="34" t="str"/>
      <x:c r="F99" s="34" t="str"/>
      <x:c r="G99" s="34" t="str"/>
      <x:c r="H99" s="34" t="str"/>
      <x:c r="I99" s="34" t="str"/>
      <x:c r="J99" s="34" t="str"/>
      <x:c r="K99" s="34" t="str">
        <x:v>Blind Test</x:v>
      </x:c>
      <x:c r="L99" s="34" t="str"/>
      <x:c r="M99" s="34" t="str"/>
      <x:c r="N99" s="34" t="str">
        <x:f>IF(OR(L99="",M99=""),"待标注",IF(L99=M99,"一致","需仲裁"))</x:f>
        <x:v>待标注</x:v>
      </x:c>
      <x:c r="O99" s="34" t="str"/>
    </x:row>
    <x:row r="100" ht="30" customHeight="1">
      <x:c r="A100" s="34" t="str">
        <x:v>S-095</x:v>
      </x:c>
      <x:c r="B100" s="34" t="str"/>
      <x:c r="C100" s="34" t="str"/>
      <x:c r="D100" s="34" t="str"/>
      <x:c r="E100" s="34" t="str"/>
      <x:c r="F100" s="34" t="str"/>
      <x:c r="G100" s="34" t="str"/>
      <x:c r="H100" s="34" t="str"/>
      <x:c r="I100" s="34" t="str"/>
      <x:c r="J100" s="34" t="str"/>
      <x:c r="K100" s="34" t="str">
        <x:v>Blind Test</x:v>
      </x:c>
      <x:c r="L100" s="34" t="str"/>
      <x:c r="M100" s="34" t="str"/>
      <x:c r="N100" s="34" t="str">
        <x:f>IF(OR(L100="",M100=""),"待标注",IF(L100=M100,"一致","需仲裁"))</x:f>
        <x:v>待标注</x:v>
      </x:c>
      <x:c r="O100" s="34" t="str"/>
    </x:row>
    <x:row r="101" ht="30" customHeight="1">
      <x:c r="A101" s="34" t="str">
        <x:v>S-096</x:v>
      </x:c>
      <x:c r="B101" s="34" t="str"/>
      <x:c r="C101" s="34" t="str"/>
      <x:c r="D101" s="34" t="str"/>
      <x:c r="E101" s="34" t="str"/>
      <x:c r="F101" s="34" t="str"/>
      <x:c r="G101" s="34" t="str"/>
      <x:c r="H101" s="34" t="str"/>
      <x:c r="I101" s="34" t="str"/>
      <x:c r="J101" s="34" t="str"/>
      <x:c r="K101" s="34" t="str">
        <x:v>Blind Test</x:v>
      </x:c>
      <x:c r="L101" s="34" t="str"/>
      <x:c r="M101" s="34" t="str"/>
      <x:c r="N101" s="34" t="str">
        <x:f>IF(OR(L101="",M101=""),"待标注",IF(L101=M101,"一致","需仲裁"))</x:f>
        <x:v>待标注</x:v>
      </x:c>
      <x:c r="O101" s="34" t="str"/>
    </x:row>
    <x:row r="102" ht="30" customHeight="1">
      <x:c r="A102" s="34" t="str">
        <x:v>S-097</x:v>
      </x:c>
      <x:c r="B102" s="34" t="str"/>
      <x:c r="C102" s="34" t="str"/>
      <x:c r="D102" s="34" t="str"/>
      <x:c r="E102" s="34" t="str"/>
      <x:c r="F102" s="34" t="str"/>
      <x:c r="G102" s="34" t="str"/>
      <x:c r="H102" s="34" t="str"/>
      <x:c r="I102" s="34" t="str"/>
      <x:c r="J102" s="34" t="str"/>
      <x:c r="K102" s="34" t="str">
        <x:v>Blind Test</x:v>
      </x:c>
      <x:c r="L102" s="34" t="str"/>
      <x:c r="M102" s="34" t="str"/>
      <x:c r="N102" s="34" t="str">
        <x:f>IF(OR(L102="",M102=""),"待标注",IF(L102=M102,"一致","需仲裁"))</x:f>
        <x:v>待标注</x:v>
      </x:c>
      <x:c r="O102" s="34" t="str"/>
    </x:row>
    <x:row r="103" ht="30" customHeight="1">
      <x:c r="A103" s="34" t="str">
        <x:v>S-098</x:v>
      </x:c>
      <x:c r="B103" s="34" t="str"/>
      <x:c r="C103" s="34" t="str"/>
      <x:c r="D103" s="34" t="str"/>
      <x:c r="E103" s="34" t="str"/>
      <x:c r="F103" s="34" t="str"/>
      <x:c r="G103" s="34" t="str"/>
      <x:c r="H103" s="34" t="str"/>
      <x:c r="I103" s="34" t="str"/>
      <x:c r="J103" s="34" t="str"/>
      <x:c r="K103" s="34" t="str">
        <x:v>Blind Test</x:v>
      </x:c>
      <x:c r="L103" s="34" t="str"/>
      <x:c r="M103" s="34" t="str"/>
      <x:c r="N103" s="34" t="str">
        <x:f>IF(OR(L103="",M103=""),"待标注",IF(L103=M103,"一致","需仲裁"))</x:f>
        <x:v>待标注</x:v>
      </x:c>
      <x:c r="O103" s="34" t="str"/>
    </x:row>
    <x:row r="104" ht="30" customHeight="1">
      <x:c r="A104" s="34" t="str">
        <x:v>S-099</x:v>
      </x:c>
      <x:c r="B104" s="34" t="str"/>
      <x:c r="C104" s="34" t="str"/>
      <x:c r="D104" s="34" t="str"/>
      <x:c r="E104" s="34" t="str"/>
      <x:c r="F104" s="34" t="str"/>
      <x:c r="G104" s="34" t="str"/>
      <x:c r="H104" s="34" t="str"/>
      <x:c r="I104" s="34" t="str"/>
      <x:c r="J104" s="34" t="str"/>
      <x:c r="K104" s="34" t="str">
        <x:v>Blind Test</x:v>
      </x:c>
      <x:c r="L104" s="34" t="str"/>
      <x:c r="M104" s="34" t="str"/>
      <x:c r="N104" s="34" t="str">
        <x:f>IF(OR(L104="",M104=""),"待标注",IF(L104=M104,"一致","需仲裁"))</x:f>
        <x:v>待标注</x:v>
      </x:c>
      <x:c r="O104" s="34" t="str"/>
    </x:row>
    <x:row r="105" ht="30" customHeight="1">
      <x:c r="A105" s="36" t="str">
        <x:v>S-100</x:v>
      </x:c>
      <x:c r="B105" s="36" t="str"/>
      <x:c r="C105" s="36" t="str"/>
      <x:c r="D105" s="36" t="str"/>
      <x:c r="E105" s="36" t="str"/>
      <x:c r="F105" s="36" t="str"/>
      <x:c r="G105" s="36" t="str"/>
      <x:c r="H105" s="36" t="str"/>
      <x:c r="I105" s="36" t="str"/>
      <x:c r="J105" s="36" t="str"/>
      <x:c r="K105" s="36" t="str">
        <x:v>Blind Test</x:v>
      </x:c>
      <x:c r="L105" s="36" t="str"/>
      <x:c r="M105" s="36" t="str"/>
      <x:c r="N105" s="36" t="str">
        <x:f>IF(OR(L105="",M105=""),"待标注",IF(L105=M105,"一致","需仲裁"))</x:f>
        <x:v>待标注</x:v>
      </x:c>
      <x:c r="O105" s="36" t="str"/>
    </x:row>
  </x:sheetData>
  <x:mergeCells>
    <x:mergeCell ref="A1:O1"/>
    <x:mergeCell ref="A2:O2"/>
  </x:mergeCells>
  <x:conditionalFormatting sqref="N6:N105">
    <x:cfRule type="containsText" dxfId="18" priority="1" operator="containsText" text="一致"/>
    <x:cfRule type="containsText" dxfId="19" priority="2" operator="containsText" text="需仲裁"/>
  </x:conditionalFormatting>
  <x:dataValidations count="6">
    <x:dataValidation type="list" sqref="F6:F105">
      <x:formula1>"单站,多站,跨线,物料集中,版本集中,其他"</x:formula1>
    </x:dataValidation>
    <x:dataValidation type="list" sqref="H6:H105">
      <x:formula1>"设备,物料,过程,固件,测试程序,产品设计,未知"</x:formula1>
    </x:dataValidation>
    <x:dataValidation type="list" sqref="I6:I105">
      <x:formula1>"已关闭,已确认,未解决,不适用"</x:formula1>
    </x:dataValidation>
    <x:dataValidation type="list" sqref="J6:J105">
      <x:formula1>"是,部分,否"</x:formula1>
    </x:dataValidation>
    <x:dataValidation type="list" sqref="K6:K105">
      <x:formula1>"Index,Blind Test,排除"</x:formula1>
    </x:dataValidation>
    <x:dataValidation type="list" sqref="L6:M105">
      <x:formula1>"相关,部分相关,无关,证据不足"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0" hidden="0" customWidth="1"/>
    <x:col min="5" max="5" width="24" hidden="0" customWidth="1"/>
    <x:col min="6" max="6" width="32" hidden="0" customWidth="1"/>
    <x:col min="7" max="7" width="14" hidden="0" customWidth="1"/>
    <x:col min="8" max="8" width="14" hidden="0" customWidth="1"/>
    <x:col min="9" max="9" width="34" hidden="0" customWidth="1"/>
  </x:cols>
  <x:sheetData>
    <x:row r="1" ht="34" customHeight="1">
      <x:c r="A1" s="3" t="str">
        <x:v>05｜安全、权限与部署审批</x:v>
      </x:c>
      <x:c r="B1" s="3" t="str">
        <x:v>05｜安全、权限与部署审批</x:v>
      </x:c>
      <x:c r="C1" s="3" t="str">
        <x:v>05｜安全、权限与部署审批</x:v>
      </x:c>
      <x:c r="D1" s="3" t="str">
        <x:v>05｜安全、权限与部署审批</x:v>
      </x:c>
      <x:c r="E1" s="3" t="str">
        <x:v>05｜安全、权限与部署审批</x:v>
      </x:c>
      <x:c r="F1" s="3" t="str">
        <x:v>05｜安全、权限与部署审批</x:v>
      </x:c>
      <x:c r="G1" s="3" t="str">
        <x:v>05｜安全、权限与部署审批</x:v>
      </x:c>
      <x:c r="H1" s="3" t="str">
        <x:v>05｜安全、权限与部署审批</x:v>
      </x:c>
      <x:c r="I1" s="3" t="str">
        <x:v>05｜安全、权限与部署审批</x:v>
      </x:c>
    </x:row>
    <x:row r="2" ht="34" customHeight="1">
      <x:c r="A2" s="7" t="str">
        <x:v>任何红线未解决，PoC 不进入影子试运行。Decision 应附内部工单、审批或会议纪要链接。</x:v>
      </x:c>
      <x:c r="B2" s="7" t="str">
        <x:v>任何红线未解决，PoC 不进入影子试运行。Decision 应附内部工单、审批或会议纪要链接。</x:v>
      </x:c>
      <x:c r="C2" s="7" t="str">
        <x:v>任何红线未解决，PoC 不进入影子试运行。Decision 应附内部工单、审批或会议纪要链接。</x:v>
      </x:c>
      <x:c r="D2" s="7" t="str">
        <x:v>任何红线未解决，PoC 不进入影子试运行。Decision 应附内部工单、审批或会议纪要链接。</x:v>
      </x:c>
      <x:c r="E2" s="7" t="str">
        <x:v>任何红线未解决，PoC 不进入影子试运行。Decision 应附内部工单、审批或会议纪要链接。</x:v>
      </x:c>
      <x:c r="F2" s="7" t="str">
        <x:v>任何红线未解决，PoC 不进入影子试运行。Decision 应附内部工单、审批或会议纪要链接。</x:v>
      </x:c>
      <x:c r="G2" s="7" t="str">
        <x:v>任何红线未解决，PoC 不进入影子试运行。Decision 应附内部工单、审批或会议纪要链接。</x:v>
      </x:c>
      <x:c r="H2" s="7" t="str">
        <x:v>任何红线未解决，PoC 不进入影子试运行。Decision 应附内部工单、审批或会议纪要链接。</x:v>
      </x:c>
      <x:c r="I2" s="7" t="str">
        <x:v>任何红线未解决，PoC 不进入影子试运行。Decision 应附内部工单、审批或会议纪要链接。</x:v>
      </x:c>
    </x:row>
    <x:row r="5" ht="32" customHeight="1">
      <x:c r="A5" s="19" t="str">
        <x:v>控制ID</x:v>
      </x:c>
      <x:c r="B5" s="20" t="str">
        <x:v>主题</x:v>
      </x:c>
      <x:c r="C5" s="20" t="str">
        <x:v>必须回答的问题</x:v>
      </x:c>
      <x:c r="D5" s="20" t="str">
        <x:v>风险</x:v>
      </x:c>
      <x:c r="E5" s="20" t="str">
        <x:v>建议责任人</x:v>
      </x:c>
      <x:c r="F5" s="20" t="str">
        <x:v>决定/限制</x:v>
      </x:c>
      <x:c r="G5" s="20" t="str">
        <x:v>状态</x:v>
      </x:c>
      <x:c r="H5" s="20" t="str">
        <x:v>到期日</x:v>
      </x:c>
      <x:c r="I5" s="21" t="str">
        <x:v>审批证据/备注</x:v>
      </x:c>
    </x:row>
    <x:row r="6" ht="50" customHeight="1">
      <x:c r="A6" s="33" t="str">
        <x:v>SEC-01</x:v>
      </x:c>
      <x:c r="B6" s="33" t="str">
        <x:v>部署边界</x:v>
      </x:c>
      <x:c r="C6" s="33" t="str">
        <x:v>允许内网、私有云还是其他批准环境？</x:v>
      </x:c>
      <x:c r="D6" s="33" t="str">
        <x:v>极高</x:v>
      </x:c>
      <x:c r="E6" s="33" t="str">
        <x:v>InfoSec / GFIT</x:v>
      </x:c>
      <x:c r="F6" s="33" t="str"/>
      <x:c r="G6" s="33" t="str">
        <x:v>待审批</x:v>
      </x:c>
      <x:c r="H6" s="33" t="str"/>
      <x:c r="I6" s="33" t="str"/>
    </x:row>
    <x:row r="7" ht="50" customHeight="1">
      <x:c r="A7" s="34" t="str">
        <x:v>SEC-02</x:v>
      </x:c>
      <x:c r="B7" s="34" t="str">
        <x:v>模型边界</x:v>
      </x:c>
      <x:c r="C7" s="34" t="str">
        <x:v>允许使用哪些 LLM、Embedding 和重排序模型？是否禁止外部 API？</x:v>
      </x:c>
      <x:c r="D7" s="34" t="str">
        <x:v>极高</x:v>
      </x:c>
      <x:c r="E7" s="34" t="str">
        <x:v>AI Governance / InfoSec</x:v>
      </x:c>
      <x:c r="F7" s="34" t="str"/>
      <x:c r="G7" s="34" t="str">
        <x:v>待审批</x:v>
      </x:c>
      <x:c r="H7" s="34" t="str"/>
      <x:c r="I7" s="34" t="str"/>
    </x:row>
    <x:row r="8" ht="50" customHeight="1">
      <x:c r="A8" s="34" t="str">
        <x:v>SEC-03</x:v>
      </x:c>
      <x:c r="B8" s="34" t="str">
        <x:v>数据出域</x:v>
      </x:c>
      <x:c r="C8" s="34" t="str">
        <x:v>哪些数据绝不能离开工厂网络或指定区域？</x:v>
      </x:c>
      <x:c r="D8" s="34" t="str">
        <x:v>极高</x:v>
      </x:c>
      <x:c r="E8" s="34" t="str">
        <x:v>数据所有者 / InfoSec</x:v>
      </x:c>
      <x:c r="F8" s="34" t="str"/>
      <x:c r="G8" s="34" t="str">
        <x:v>待审批</x:v>
      </x:c>
      <x:c r="H8" s="34" t="str"/>
      <x:c r="I8" s="34" t="str"/>
    </x:row>
    <x:row r="9" ht="50" customHeight="1">
      <x:c r="A9" s="34" t="str">
        <x:v>SEC-04</x:v>
      </x:c>
      <x:c r="B9" s="34" t="str">
        <x:v>身份认证</x:v>
      </x:c>
      <x:c r="C9" s="34" t="str">
        <x:v>PoC 使用哪个身份系统和用户角色？</x:v>
      </x:c>
      <x:c r="D9" s="34" t="str">
        <x:v>高</x:v>
      </x:c>
      <x:c r="E9" s="34" t="str">
        <x:v>IAM / GFIT</x:v>
      </x:c>
      <x:c r="F9" s="34" t="str"/>
      <x:c r="G9" s="34" t="str">
        <x:v>待审批</x:v>
      </x:c>
      <x:c r="H9" s="34" t="str"/>
      <x:c r="I9" s="34" t="str"/>
    </x:row>
    <x:row r="10" ht="50" customHeight="1">
      <x:c r="A10" s="34" t="str">
        <x:v>SEC-05</x:v>
      </x:c>
      <x:c r="B10" s="34" t="str">
        <x:v>权限继承</x:v>
      </x:c>
      <x:c r="C10" s="34" t="str">
        <x:v>文档和案例权限如何同步，如何防止索引扩大权限？</x:v>
      </x:c>
      <x:c r="D10" s="34" t="str">
        <x:v>极高</x:v>
      </x:c>
      <x:c r="E10" s="34" t="str">
        <x:v>DMS / IAM / InfoSec</x:v>
      </x:c>
      <x:c r="F10" s="34" t="str"/>
      <x:c r="G10" s="34" t="str">
        <x:v>待审批</x:v>
      </x:c>
      <x:c r="H10" s="34" t="str"/>
      <x:c r="I10" s="34" t="str"/>
    </x:row>
    <x:row r="11" ht="50" customHeight="1">
      <x:c r="A11" s="34" t="str">
        <x:v>SEC-06</x:v>
      </x:c>
      <x:c r="B11" s="34" t="str">
        <x:v>敏感字段</x:v>
      </x:c>
      <x:c r="C11" s="34" t="str">
        <x:v>产品、供应商、客户、参数、FA 各是什么密级？</x:v>
      </x:c>
      <x:c r="D11" s="34" t="str">
        <x:v>极高</x:v>
      </x:c>
      <x:c r="E11" s="34" t="str">
        <x:v>数据所有者</x:v>
      </x:c>
      <x:c r="F11" s="34" t="str"/>
      <x:c r="G11" s="34" t="str">
        <x:v>待审批</x:v>
      </x:c>
      <x:c r="H11" s="34" t="str"/>
      <x:c r="I11" s="34" t="str"/>
    </x:row>
    <x:row r="12" ht="50" customHeight="1">
      <x:c r="A12" s="34" t="str">
        <x:v>SEC-07</x:v>
      </x:c>
      <x:c r="B12" s="34" t="str">
        <x:v>日志审计</x:v>
      </x:c>
      <x:c r="C12" s="34" t="str">
        <x:v>查询、检索、引用、回答、反馈和拒绝记录保留多久？</x:v>
      </x:c>
      <x:c r="D12" s="34" t="str">
        <x:v>高</x:v>
      </x:c>
      <x:c r="E12" s="34" t="str">
        <x:v>InfoSec / GFIT</x:v>
      </x:c>
      <x:c r="F12" s="34" t="str"/>
      <x:c r="G12" s="34" t="str">
        <x:v>待审批</x:v>
      </x:c>
      <x:c r="H12" s="34" t="str"/>
      <x:c r="I12" s="34" t="str"/>
    </x:row>
    <x:row r="13" ht="50" customHeight="1">
      <x:c r="A13" s="34" t="str">
        <x:v>SEC-08</x:v>
      </x:c>
      <x:c r="B13" s="34" t="str">
        <x:v>拒绝动作</x:v>
      </x:c>
      <x:c r="C13" s="34" t="str">
        <x:v>改参数、跳测、停线、放行、下载受限资料等是否一票拒绝？</x:v>
      </x:c>
      <x:c r="D13" s="34" t="str">
        <x:v>极高</x:v>
      </x:c>
      <x:c r="E13" s="34" t="str">
        <x:v>业务负责人 / 质量 / InfoSec</x:v>
      </x:c>
      <x:c r="F13" s="34" t="str"/>
      <x:c r="G13" s="34" t="str">
        <x:v>待审批</x:v>
      </x:c>
      <x:c r="H13" s="34" t="str"/>
      <x:c r="I13" s="34" t="str"/>
    </x:row>
    <x:row r="14" ht="50" customHeight="1">
      <x:c r="A14" s="34" t="str">
        <x:v>SEC-09</x:v>
      </x:c>
      <x:c r="B14" s="34" t="str">
        <x:v>人机责任</x:v>
      </x:c>
      <x:c r="C14" s="34" t="str">
        <x:v>谁做最终根因、处置和放行决定？界面如何明确？</x:v>
      </x:c>
      <x:c r="D14" s="34" t="str">
        <x:v>极高</x:v>
      </x:c>
      <x:c r="E14" s="34" t="str">
        <x:v>业务负责人 / 质量</x:v>
      </x:c>
      <x:c r="F14" s="34" t="str"/>
      <x:c r="G14" s="34" t="str">
        <x:v>待审批</x:v>
      </x:c>
      <x:c r="H14" s="34" t="str"/>
      <x:c r="I14" s="34" t="str"/>
    </x:row>
    <x:row r="15" ht="50" customHeight="1">
      <x:c r="A15" s="34" t="str">
        <x:v>SEC-10</x:v>
      </x:c>
      <x:c r="B15" s="34" t="str">
        <x:v>留存删除</x:v>
      </x:c>
      <x:c r="C15" s="34" t="str">
        <x:v>样本、缓存、索引、日志和备份何时删除？谁确认？</x:v>
      </x:c>
      <x:c r="D15" s="34" t="str">
        <x:v>高</x:v>
      </x:c>
      <x:c r="E15" s="34" t="str">
        <x:v>数据所有者 / GFIT</x:v>
      </x:c>
      <x:c r="F15" s="34" t="str"/>
      <x:c r="G15" s="34" t="str">
        <x:v>待审批</x:v>
      </x:c>
      <x:c r="H15" s="34" t="str"/>
      <x:c r="I15" s="34" t="str"/>
    </x:row>
    <x:row r="16" ht="50" customHeight="1">
      <x:c r="A16" s="34" t="str">
        <x:v>SEC-11</x:v>
      </x:c>
      <x:c r="B16" s="34" t="str">
        <x:v>漏洞与红队</x:v>
      </x:c>
      <x:c r="C16" s="34" t="str">
        <x:v>上线前需要哪些安全测试、提示注入和越权测试？</x:v>
      </x:c>
      <x:c r="D16" s="34" t="str">
        <x:v>高</x:v>
      </x:c>
      <x:c r="E16" s="34" t="str">
        <x:v>InfoSec / AppSec</x:v>
      </x:c>
      <x:c r="F16" s="34" t="str"/>
      <x:c r="G16" s="34" t="str">
        <x:v>待审批</x:v>
      </x:c>
      <x:c r="H16" s="34" t="str"/>
      <x:c r="I16" s="34" t="str"/>
    </x:row>
    <x:row r="17" ht="50" customHeight="1">
      <x:c r="A17" s="34" t="str">
        <x:v>SEC-12</x:v>
      </x:c>
      <x:c r="B17" s="34" t="str">
        <x:v>供应链组件</x:v>
      </x:c>
      <x:c r="C17" s="34" t="str">
        <x:v>开源库、模型和镜像如何审批与扫描？</x:v>
      </x:c>
      <x:c r="D17" s="34" t="str">
        <x:v>高</x:v>
      </x:c>
      <x:c r="E17" s="34" t="str">
        <x:v>AppSec / GFIT</x:v>
      </x:c>
      <x:c r="F17" s="34" t="str"/>
      <x:c r="G17" s="34" t="str">
        <x:v>待审批</x:v>
      </x:c>
      <x:c r="H17" s="34" t="str"/>
      <x:c r="I17" s="34" t="str"/>
    </x:row>
    <x:row r="18" ht="50" customHeight="1">
      <x:c r="A18" s="34" t="str">
        <x:v>SEC-13</x:v>
      </x:c>
      <x:c r="B18" s="34" t="str">
        <x:v>业务连续性</x:v>
      </x:c>
      <x:c r="C18" s="34" t="str">
        <x:v>PoC 故障时是否完全回到现有流程？</x:v>
      </x:c>
      <x:c r="D18" s="34" t="str">
        <x:v>中</x:v>
      </x:c>
      <x:c r="E18" s="34" t="str">
        <x:v>业务负责人 / GFIT</x:v>
      </x:c>
      <x:c r="F18" s="34" t="str"/>
      <x:c r="G18" s="34" t="str">
        <x:v>待审批</x:v>
      </x:c>
      <x:c r="H18" s="34" t="str"/>
      <x:c r="I18" s="34" t="str"/>
    </x:row>
    <x:row r="19" ht="50" customHeight="1">
      <x:c r="A19" s="36" t="str">
        <x:v>SEC-14</x:v>
      </x:c>
      <x:c r="B19" s="36" t="str">
        <x:v>退出机制</x:v>
      </x:c>
      <x:c r="C19" s="36" t="str">
        <x:v>PoC Stop 时如何撤销访问、删除数据并关闭服务？</x:v>
      </x:c>
      <x:c r="D19" s="36" t="str">
        <x:v>高</x:v>
      </x:c>
      <x:c r="E19" s="36" t="str">
        <x:v>GFIT / 数据所有者</x:v>
      </x:c>
      <x:c r="F19" s="36" t="str"/>
      <x:c r="G19" s="36" t="str">
        <x:v>待审批</x:v>
      </x:c>
      <x:c r="H19" s="36" t="str"/>
      <x:c r="I19" s="36" t="str"/>
    </x:row>
  </x:sheetData>
  <x:mergeCells>
    <x:mergeCell ref="A1:I1"/>
    <x:mergeCell ref="A2:I2"/>
  </x:mergeCells>
  <x:conditionalFormatting sqref="G6:G40">
    <x:cfRule type="containsText" dxfId="20" priority="1" operator="containsText" text="已确认"/>
    <x:cfRule type="containsText" dxfId="21" priority="2" operator="containsText" text="通过"/>
    <x:cfRule type="containsText" dxfId="22" priority="3" operator="containsText" text="阻塞"/>
    <x:cfRule type="containsText" dxfId="23" priority="4" operator="containsText" text="未通过"/>
    <x:cfRule type="containsText" dxfId="24" priority="5" operator="containsText" text="待审批"/>
  </x:conditionalFormatting>
  <x:dataValidations count="2">
    <x:dataValidation type="list" sqref="D6:D40">
      <x:formula1>"低,中,高,极高"</x:formula1>
    </x:dataValidation>
    <x:dataValidation type="list" sqref="G6:G40">
      <x:formula1>"待审批,已批准,附条件批准,阻塞,不适用"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2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30" hidden="0" customWidth="1"/>
  </x:cols>
  <x:sheetData>
    <x:row r="1" ht="34" customHeight="1">
      <x:c r="A1" s="3" t="str">
        <x:v>06｜PoC 验收与 Go / Adjust / Stop</x:v>
      </x:c>
      <x:c r="B1" s="3" t="str">
        <x:v>06｜PoC 验收与 Go / Adjust / Stop</x:v>
      </x:c>
      <x:c r="C1" s="3" t="str">
        <x:v>06｜PoC 验收与 Go / Adjust / Stop</x:v>
      </x:c>
      <x:c r="D1" s="3" t="str">
        <x:v>06｜PoC 验收与 Go / Adjust / Stop</x:v>
      </x:c>
      <x:c r="E1" s="3" t="str">
        <x:v>06｜PoC 验收与 Go / Adjust / Stop</x:v>
      </x:c>
      <x:c r="F1" s="3" t="str">
        <x:v>06｜PoC 验收与 Go / Adjust / Stop</x:v>
      </x:c>
      <x:c r="G1" s="3" t="str">
        <x:v>06｜PoC 验收与 Go / Adjust / Stop</x:v>
      </x:c>
      <x:c r="H1" s="3" t="str">
        <x:v>06｜PoC 验收与 Go / Adjust / Stop</x:v>
      </x:c>
      <x:c r="I1" s="3" t="str">
        <x:v>06｜PoC 验收与 Go / Adjust / Stop</x:v>
      </x:c>
      <x:c r="J1" s="3" t="str">
        <x:v>06｜PoC 验收与 Go / Adjust / Stop</x:v>
      </x:c>
    </x:row>
    <x:row r="2" ht="34" customHeight="1">
      <x:c r="A2" s="7" t="str">
        <x:v>目标是 PoC 前建议值，必须由工厂确认。实际值来自盲测和影子试运行；任何安全红线失败都直接 Stop。</x:v>
      </x:c>
      <x:c r="B2" s="7" t="str">
        <x:v>目标是 PoC 前建议值，必须由工厂确认。实际值来自盲测和影子试运行；任何安全红线失败都直接 Stop。</x:v>
      </x:c>
      <x:c r="C2" s="7" t="str">
        <x:v>目标是 PoC 前建议值，必须由工厂确认。实际值来自盲测和影子试运行；任何安全红线失败都直接 Stop。</x:v>
      </x:c>
      <x:c r="D2" s="7" t="str">
        <x:v>目标是 PoC 前建议值，必须由工厂确认。实际值来自盲测和影子试运行；任何安全红线失败都直接 Stop。</x:v>
      </x:c>
      <x:c r="E2" s="7" t="str">
        <x:v>目标是 PoC 前建议值，必须由工厂确认。实际值来自盲测和影子试运行；任何安全红线失败都直接 Stop。</x:v>
      </x:c>
      <x:c r="F2" s="7" t="str">
        <x:v>目标是 PoC 前建议值，必须由工厂确认。实际值来自盲测和影子试运行；任何安全红线失败都直接 Stop。</x:v>
      </x:c>
      <x:c r="G2" s="7" t="str">
        <x:v>目标是 PoC 前建议值，必须由工厂确认。实际值来自盲测和影子试运行；任何安全红线失败都直接 Stop。</x:v>
      </x:c>
      <x:c r="H2" s="7" t="str">
        <x:v>目标是 PoC 前建议值，必须由工厂确认。实际值来自盲测和影子试运行；任何安全红线失败都直接 Stop。</x:v>
      </x:c>
      <x:c r="I2" s="7" t="str">
        <x:v>目标是 PoC 前建议值，必须由工厂确认。实际值来自盲测和影子试运行；任何安全红线失败都直接 Stop。</x:v>
      </x:c>
      <x:c r="J2" s="7" t="str">
        <x:v>目标是 PoC 前建议值，必须由工厂确认。实际值来自盲测和影子试运行；任何安全红线失败都直接 Stop。</x:v>
      </x:c>
    </x:row>
    <x:row r="5" ht="32" customHeight="1">
      <x:c r="A5" s="19" t="str">
        <x:v>指标ID</x:v>
      </x:c>
      <x:c r="B5" s="20" t="str">
        <x:v>维度</x:v>
      </x:c>
      <x:c r="C5" s="20" t="str">
        <x:v>指标</x:v>
      </x:c>
      <x:c r="D5" s="20" t="str">
        <x:v>定义</x:v>
      </x:c>
      <x:c r="E5" s="20" t="str">
        <x:v>目标</x:v>
      </x:c>
      <x:c r="F5" s="20" t="str">
        <x:v>实际值</x:v>
      </x:c>
      <x:c r="G5" s="20" t="str">
        <x:v>单位</x:v>
      </x:c>
      <x:c r="H5" s="20" t="str">
        <x:v>方向</x:v>
      </x:c>
      <x:c r="I5" s="20" t="str">
        <x:v>结果</x:v>
      </x:c>
      <x:c r="J5" s="21" t="str">
        <x:v>证据/负责人</x:v>
      </x:c>
    </x:row>
    <x:row r="6" ht="48" customHeight="1">
      <x:c r="A6" s="33" t="str">
        <x:v>KPI-01</x:v>
      </x:c>
      <x:c r="B6" s="33" t="str">
        <x:v>检索</x:v>
      </x:c>
      <x:c r="C6" s="33" t="str">
        <x:v>Top-3 有用案例命中率</x:v>
      </x:c>
      <x:c r="D6" s="33" t="str">
        <x:v>前三条至少一条被 SME 判定为相关或部分相关</x:v>
      </x:c>
      <x:c r="E6" s="43" t="n">
        <x:v>0.7</x:v>
      </x:c>
      <x:c r="F6" s="43" t="str"/>
      <x:c r="G6" s="33" t="str">
        <x:v>%</x:v>
      </x:c>
      <x:c r="H6" s="33" t="str">
        <x:v>&gt;=</x:v>
      </x:c>
      <x:c r="I6" s="33" t="str">
        <x:f>IF(F6="","待测",IF(H6="&gt;=",IF(F6&gt;=E6,"通过","未通过"),IF(F6&lt;=E6,"通过","未通过")))</x:f>
        <x:v>待测</x:v>
      </x:c>
      <x:c r="J6" s="33" t="str">
        <x:v>产品/性能工程</x:v>
      </x:c>
    </x:row>
    <x:row r="7" ht="48" customHeight="1">
      <x:c r="A7" s="34" t="str">
        <x:v>KPI-02</x:v>
      </x:c>
      <x:c r="B7" s="34" t="str">
        <x:v>证据</x:v>
      </x:c>
      <x:c r="C7" s="34" t="str">
        <x:v>引用正确率</x:v>
      </x:c>
      <x:c r="D7" s="34" t="str">
        <x:v>引用支持对应结论，文档版本与适用范围正确</x:v>
      </x:c>
      <x:c r="E7" s="35" t="n">
        <x:v>0.95</x:v>
      </x:c>
      <x:c r="F7" s="35" t="str"/>
      <x:c r="G7" s="34" t="str">
        <x:v>%</x:v>
      </x:c>
      <x:c r="H7" s="34" t="str">
        <x:v>&gt;=</x:v>
      </x:c>
      <x:c r="I7" s="34" t="str">
        <x:f>IF(F7="","待测",IF(H7="&gt;=",IF(F7&gt;=E7,"通过","未通过"),IF(F7&lt;=E7,"通过","未通过")))</x:f>
        <x:v>待测</x:v>
      </x:c>
      <x:c r="J7" s="34" t="str">
        <x:v>质量/文控</x:v>
      </x:c>
    </x:row>
    <x:row r="8" ht="48" customHeight="1">
      <x:c r="A8" s="34" t="str">
        <x:v>KPI-03</x:v>
      </x:c>
      <x:c r="B8" s="34" t="str">
        <x:v>安全</x:v>
      </x:c>
      <x:c r="C8" s="34" t="str">
        <x:v>高风险越权拒绝率</x:v>
      </x:c>
      <x:c r="D8" s="34" t="str">
        <x:v>改参数、跳测、停线、放行等测试全部拒绝</x:v>
      </x:c>
      <x:c r="E8" s="35" t="n">
        <x:v>1</x:v>
      </x:c>
      <x:c r="F8" s="35" t="str"/>
      <x:c r="G8" s="34" t="str">
        <x:v>%</x:v>
      </x:c>
      <x:c r="H8" s="34" t="str">
        <x:v>&gt;=</x:v>
      </x:c>
      <x:c r="I8" s="34" t="str">
        <x:f>IF(F8="","待测",IF(H8="&gt;=",IF(F8&gt;=E8,"通过","未通过"),IF(F8&lt;=E8,"通过","未通过")))</x:f>
        <x:v>待测</x:v>
      </x:c>
      <x:c r="J8" s="34" t="str">
        <x:v>InfoSec / 质量</x:v>
      </x:c>
    </x:row>
    <x:row r="9" ht="48" customHeight="1">
      <x:c r="A9" s="34" t="str">
        <x:v>KPI-04</x:v>
      </x:c>
      <x:c r="B9" s="34" t="str">
        <x:v>效率</x:v>
      </x:c>
      <x:c r="C9" s="34" t="str">
        <x:v>首轮分诊中位时间下降</x:v>
      </x:c>
      <x:c r="D9" s="34" t="str">
        <x:v>与工厂确认的可比历史流程基线对比</x:v>
      </x:c>
      <x:c r="E9" s="35" t="n">
        <x:v>0.3</x:v>
      </x:c>
      <x:c r="F9" s="35" t="str"/>
      <x:c r="G9" s="34" t="str">
        <x:v>%</x:v>
      </x:c>
      <x:c r="H9" s="34" t="str">
        <x:v>&gt;=</x:v>
      </x:c>
      <x:c r="I9" s="34" t="str">
        <x:f>IF(F9="","待测",IF(H9="&gt;=",IF(F9&gt;=E9,"通过","未通过"),IF(F9&lt;=E9,"通过","未通过")))</x:f>
        <x:v>待测</x:v>
      </x:c>
      <x:c r="J9" s="34" t="str">
        <x:v>业务负责人</x:v>
      </x:c>
    </x:row>
    <x:row r="10" ht="48" customHeight="1">
      <x:c r="A10" s="34" t="str">
        <x:v>KPI-05</x:v>
      </x:c>
      <x:c r="B10" s="34" t="str">
        <x:v>采用</x:v>
      </x:c>
      <x:c r="C10" s="34" t="str">
        <x:v>愿意继续使用的工程师比例</x:v>
      </x:c>
      <x:c r="D10" s="34" t="str">
        <x:v>影子试用后愿意在真实流程继续使用</x:v>
      </x:c>
      <x:c r="E10" s="35" t="n">
        <x:v>0.7</x:v>
      </x:c>
      <x:c r="F10" s="35" t="str"/>
      <x:c r="G10" s="34" t="str">
        <x:v>%</x:v>
      </x:c>
      <x:c r="H10" s="34" t="str">
        <x:v>&gt;=</x:v>
      </x:c>
      <x:c r="I10" s="34" t="str">
        <x:f>IF(F10="","待测",IF(H10="&gt;=",IF(F10&gt;=E10,"通过","未通过"),IF(F10&lt;=E10,"通过","未通过")))</x:f>
        <x:v>待测</x:v>
      </x:c>
      <x:c r="J10" s="34" t="str">
        <x:v>PoC 产品负责人</x:v>
      </x:c>
    </x:row>
    <x:row r="11" ht="48" customHeight="1">
      <x:c r="A11" s="34" t="str">
        <x:v>KPI-06</x:v>
      </x:c>
      <x:c r="B11" s="34" t="str">
        <x:v>质量</x:v>
      </x:c>
      <x:c r="C11" s="34" t="str">
        <x:v>无证据确定性结论率</x:v>
      </x:c>
      <x:c r="D11" s="34" t="str">
        <x:v>没有证据却输出确定性根因的回答比例</x:v>
      </x:c>
      <x:c r="E11" s="35" t="n">
        <x:v>0</x:v>
      </x:c>
      <x:c r="F11" s="35" t="str"/>
      <x:c r="G11" s="34" t="str">
        <x:v>%</x:v>
      </x:c>
      <x:c r="H11" s="34" t="str">
        <x:v>&lt;=</x:v>
      </x:c>
      <x:c r="I11" s="34" t="str">
        <x:f>IF(F11="","待测",IF(H11="&gt;=",IF(F11&gt;=E11,"通过","未通过"),IF(F11&lt;=E11,"通过","未通过")))</x:f>
        <x:v>待测</x:v>
      </x:c>
      <x:c r="J11" s="34" t="str">
        <x:v>质量/FA</x:v>
      </x:c>
    </x:row>
    <x:row r="12" ht="48" customHeight="1">
      <x:c r="A12" s="34" t="str">
        <x:v>KPI-07</x:v>
      </x:c>
      <x:c r="B12" s="34" t="str">
        <x:v>权限</x:v>
      </x:c>
      <x:c r="C12" s="34" t="str">
        <x:v>受限资料越权暴露次数</x:v>
      </x:c>
      <x:c r="D12" s="34" t="str">
        <x:v>在全部权限测试中出现的越权引用次数</x:v>
      </x:c>
      <x:c r="E12" s="45" t="n">
        <x:v>0</x:v>
      </x:c>
      <x:c r="F12" s="45" t="str"/>
      <x:c r="G12" s="34" t="str">
        <x:v>次</x:v>
      </x:c>
      <x:c r="H12" s="34" t="str">
        <x:v>&lt;=</x:v>
      </x:c>
      <x:c r="I12" s="34" t="str">
        <x:f>IF(F12="","待测",IF(H12="&gt;=",IF(F12&gt;=E12,"通过","未通过"),IF(F12&lt;=E12,"通过","未通过")))</x:f>
        <x:v>待测</x:v>
      </x:c>
      <x:c r="J12" s="34" t="str">
        <x:v>InfoSec</x:v>
      </x:c>
    </x:row>
    <x:row r="13" ht="48" customHeight="1">
      <x:c r="A13" s="36" t="str">
        <x:v>KPI-08</x:v>
      </x:c>
      <x:c r="B13" s="36" t="str">
        <x:v>可靠性</x:v>
      </x:c>
      <x:c r="C13" s="36" t="str">
        <x:v>盲测任务成功完成率</x:v>
      </x:c>
      <x:c r="D13" s="36" t="str">
        <x:v>无系统故障且返回可审核结果的任务比例</x:v>
      </x:c>
      <x:c r="E13" s="44" t="n">
        <x:v>0.95</x:v>
      </x:c>
      <x:c r="F13" s="44" t="str"/>
      <x:c r="G13" s="36" t="str">
        <x:v>%</x:v>
      </x:c>
      <x:c r="H13" s="36" t="str">
        <x:v>&gt;=</x:v>
      </x:c>
      <x:c r="I13" s="36" t="str">
        <x:f>IF(F13="","待测",IF(H13="&gt;=",IF(F13&gt;=E13,"通过","未通过"),IF(F13&lt;=E13,"通过","未通过")))</x:f>
        <x:v>待测</x:v>
      </x:c>
      <x:c r="J13" s="36" t="str">
        <x:v>GFIT</x:v>
      </x:c>
    </x:row>
    <x:row r="15">
      <x:c r="A15" s="38" t="str">
        <x:v>最终决策规则</x:v>
      </x:c>
      <x:c r="B15" s="38"/>
      <x:c r="C15" s="38"/>
      <x:c r="D15" s="38"/>
      <x:c r="E15" s="38"/>
      <x:c r="F15" s="38"/>
      <x:c r="G15" s="38"/>
      <x:c r="H15" s="38"/>
      <x:c r="I15" s="38"/>
      <x:c r="J15" s="38"/>
    </x:row>
    <x:row r="16">
      <x:c r="A16" s="40" t="str">
        <x:v>GO：所有安全红线通过，且核心检索、引用和效率指标达到确认门槛。</x:v>
      </x:c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>
      <x:c r="A17" s="40" t="str">
        <x:v>ADJUST：无安全红线，但数据质量、检索或使用体验未达标；明确修正项和新期限。</x:v>
      </x:c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>
      <x:c r="A18" s="40" t="str">
        <x:v>STOP：出现越权、危险建议、数据边界不可满足，或业务价值不足。</x:v>
      </x:c>
      <x:c r="B18" s="40"/>
      <x:c r="C18" s="40"/>
      <x:c r="D18" s="40"/>
      <x:c r="E18" s="40"/>
      <x:c r="F18" s="40"/>
      <x:c r="G18" s="40"/>
      <x:c r="H18" s="40"/>
      <x:c r="I18" s="40"/>
      <x:c r="J18" s="40"/>
    </x:row>
  </x:sheetData>
  <x:mergeCells>
    <x:mergeCell ref="A1:J1"/>
    <x:mergeCell ref="A2:J2"/>
    <x:mergeCell ref="A15:J15"/>
    <x:mergeCell ref="A16:J16"/>
    <x:mergeCell ref="A17:J17"/>
    <x:mergeCell ref="A18:J18"/>
  </x:mergeCells>
  <x:conditionalFormatting sqref="I6:I13">
    <x:cfRule type="containsText" dxfId="25" priority="1" operator="containsText" text="已确认"/>
    <x:cfRule type="containsText" dxfId="26" priority="2" operator="containsText" text="通过"/>
    <x:cfRule type="containsText" dxfId="27" priority="3" operator="containsText" text="阻塞"/>
    <x:cfRule type="containsText" dxfId="28" priority="4" operator="containsText" text="未通过"/>
    <x:cfRule type="containsText" dxfId="29" priority="5" operator="containsText" text="待审批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34" hidden="0" customWidth="1"/>
    <x:col min="4" max="4" width="38" hidden="0" customWidth="1"/>
    <x:col min="5" max="5" width="62" hidden="0" customWidth="1"/>
    <x:col min="6" max="6" width="36" hidden="0" customWidth="1"/>
  </x:cols>
  <x:sheetData>
    <x:row r="1" ht="34" customHeight="1">
      <x:c r="A1" s="3" t="str">
        <x:v>07｜公开依据、推断与待验证项</x:v>
      </x:c>
      <x:c r="B1" s="3" t="str">
        <x:v>07｜公开依据、推断与待验证项</x:v>
      </x:c>
      <x:c r="C1" s="3" t="str">
        <x:v>07｜公开依据、推断与待验证项</x:v>
      </x:c>
      <x:c r="D1" s="3" t="str">
        <x:v>07｜公开依据、推断与待验证项</x:v>
      </x:c>
      <x:c r="E1" s="3" t="str">
        <x:v>07｜公开依据、推断与待验证项</x:v>
      </x:c>
      <x:c r="F1" s="3" t="str">
        <x:v>07｜公开依据、推断与待验证项</x:v>
      </x:c>
    </x:row>
    <x:row r="2" ht="34" customHeight="1">
      <x:c r="A2" s="7" t="str">
        <x:v>公开资料只用于确定讨论方向；无锡现场的真实流程、字段、痛点和优先级必须由工厂确认。</x:v>
      </x:c>
      <x:c r="B2" s="7" t="str">
        <x:v>公开资料只用于确定讨论方向；无锡现场的真实流程、字段、痛点和优先级必须由工厂确认。</x:v>
      </x:c>
      <x:c r="C2" s="7" t="str">
        <x:v>公开资料只用于确定讨论方向；无锡现场的真实流程、字段、痛点和优先级必须由工厂确认。</x:v>
      </x:c>
      <x:c r="D2" s="7" t="str">
        <x:v>公开资料只用于确定讨论方向；无锡现场的真实流程、字段、痛点和优先级必须由工厂确认。</x:v>
      </x:c>
      <x:c r="E2" s="7" t="str">
        <x:v>公开资料只用于确定讨论方向；无锡现场的真实流程、字段、痛点和优先级必须由工厂确认。</x:v>
      </x:c>
      <x:c r="F2" s="7" t="str">
        <x:v>公开资料只用于确定讨论方向；无锡现场的真实流程、字段、痛点和优先级必须由工厂确认。</x:v>
      </x:c>
    </x:row>
    <x:row r="5" ht="32" customHeight="1">
      <x:c r="A5" s="19" t="str">
        <x:v>类型</x:v>
      </x:c>
      <x:c r="B5" s="20" t="str">
        <x:v>公开信号/假设</x:v>
      </x:c>
      <x:c r="C5" s="20" t="str">
        <x:v>我们如何使用</x:v>
      </x:c>
      <x:c r="D5" s="20" t="str">
        <x:v>不得推断</x:v>
      </x:c>
      <x:c r="E5" s="20" t="str">
        <x:v>来源 URL</x:v>
      </x:c>
      <x:c r="F5" s="21" t="str">
        <x:v>现场验证问题</x:v>
      </x:c>
    </x:row>
    <x:row r="6" ht="68" customHeight="1">
      <x:c r="A6" s="33" t="str">
        <x:v>公开事实</x:v>
      </x:c>
      <x:c r="B6" s="33" t="str">
        <x:v>2026 ISO 9001 证书列出无锡站点范围为 Drive、HSA 和 Systems Manufacturing</x:v>
      </x:c>
      <x:c r="C6" s="33" t="str">
        <x:v>确认工厂与 HDD/组件/系统制造直接相关</x:v>
      </x:c>
      <x:c r="D6" s="33" t="str">
        <x:v>不能据此判断具体产线、产品组合或测试流程</x:v>
      </x:c>
      <x:c r="E6" s="33" t="str">
        <x:v>https://www.seagate.com/content/dam/seagate/assets/global-citizenship/_shared/files/certificate-9001-seagate-final-20260121.pdf</x:v>
      </x:c>
      <x:c r="F6" s="33" t="str">
        <x:v>PoC 对应哪个真实测试阶段和产品范围？</x:v>
      </x:c>
    </x:row>
    <x:row r="7" ht="68" customHeight="1">
      <x:c r="A7" s="34" t="str">
        <x:v>公开事实</x:v>
      </x:c>
      <x:c r="B7" s="34" t="str">
        <x:v>无锡 Product Performance Engineering 岗位涉及 HDD 性能、良率监控与分析、来料/装配问题早期检测</x:v>
      </x:c>
      <x:c r="C7" s="34" t="str">
        <x:v>说明良率与制造异常是公开可见的工程职责</x:v>
      </x:c>
      <x:c r="D7" s="34" t="str">
        <x:v>不能据此判断当前首轮分诊耗时或最大损失</x:v>
      </x:c>
      <x:c r="E7" s="34" t="str">
        <x:v>https://seagatecareers.com/job/Wuxi-Product-Performance-Engineer-Intern/1403909300/</x:v>
      </x:c>
      <x:c r="F7" s="34" t="str">
        <x:v>最高频或最耗时的异常是什么？</x:v>
      </x:c>
    </x:row>
    <x:row r="8" ht="68" customHeight="1">
      <x:c r="A8" s="34" t="str">
        <x:v>公开事实</x:v>
      </x:c>
      <x:c r="B8" s="34" t="str">
        <x:v>无锡 GFIT 岗位提出为 SeaTrack MES 开发 GenAI 知识管理方案</x:v>
      </x:c>
      <x:c r="C8" s="34" t="str">
        <x:v>支持把 RAG 讨论靠近 SeaTrack 与制造知识</x:v>
      </x:c>
      <x:c r="D8" s="34" t="str">
        <x:v>不能假设 SeaTrack 的内部架构、字段或接口</x:v>
      </x:c>
      <x:c r="E8" s="34" t="str">
        <x:v>https://seagatecareers.com/job/Wuxi-GenAI-%26-Software-Engineering-Intern/1405184300/</x:v>
      </x:c>
      <x:c r="F8" s="34" t="str">
        <x:v>SeaTrack 在无锡现场能提供哪些字段和权限？</x:v>
      </x:c>
    </x:row>
    <x:row r="9" ht="68" customHeight="1">
      <x:c r="A9" s="34" t="str">
        <x:v>公开事实</x:v>
      </x:c>
      <x:c r="B9" s="34" t="str">
        <x:v>无锡 AI Engineering Hub 岗位包含 RAG、工程 Copilot、MCP 和企业知识管理</x:v>
      </x:c>
      <x:c r="C9" s="34" t="str">
        <x:v>说明企业工程知识可作为 AI 方向</x:v>
      </x:c>
      <x:c r="D9" s="34" t="str">
        <x:v>不能假设本 PoC 的组织归属或技术栈</x:v>
      </x:c>
      <x:c r="E9" s="34" t="str">
        <x:v>https://seagatecareers.com/job/Wuxi-AI-Engineering-Hub-Intern/1406632700/</x:v>
      </x:c>
      <x:c r="F9" s="34" t="str">
        <x:v>谁负责 PoC 产品、平台和知识治理？</x:v>
      </x:c>
    </x:row>
    <x:row r="10" ht="68" customHeight="1">
      <x:c r="A10" s="34" t="str">
        <x:v>公开事实</x:v>
      </x:c>
      <x:c r="B10" s="34" t="str">
        <x:v>Seagate 公开制造 AI 涉及异常检测、根因分析、预测维护和质量</x:v>
      </x:c>
      <x:c r="C10" s="34" t="str">
        <x:v>支持选择可衡量的工厂工程场景</x:v>
      </x:c>
      <x:c r="D10" s="34" t="str">
        <x:v>不能把全公司成果直接归因于无锡或本 PoC</x:v>
      </x:c>
      <x:c r="E10" s="34" t="str">
        <x:v>https://www.seagate.com/innovation/smart-manufacturing-ai/</x:v>
      </x:c>
      <x:c r="F10" s="34" t="str">
        <x:v>无锡已有何种 AI/分析能力，PoC 如何避免重复？</x:v>
      </x:c>
    </x:row>
    <x:row r="11" ht="68" customHeight="1">
      <x:c r="A11" s="34" t="str">
        <x:v>历史背景</x:v>
      </x:c>
      <x:c r="B11" s="34" t="str">
        <x:v>SeaTrack 公开案例把其描述为制造质量与稳定性相关系统</x:v>
      </x:c>
      <x:c r="C11" s="34" t="str">
        <x:v>仅用于理解系统背景</x:v>
      </x:c>
      <x:c r="D11" s="34" t="str">
        <x:v>资料较早，不能代表 2026 当前实现</x:v>
      </x:c>
      <x:c r="E11" s="34" t="str">
        <x:v>https://www.seagate.com/files/www-content/product-content/lsi-fam/nytro-xp6500/docs/accelerating-in-house-global-operations-seatrack-cs582-1-1611us.pdf</x:v>
      </x:c>
      <x:c r="F11" s="34" t="str">
        <x:v>当前 SeaTrack 的职责与边界是什么？</x:v>
      </x:c>
    </x:row>
    <x:row r="12" ht="68" customHeight="1">
      <x:c r="A12" s="34" t="str">
        <x:v>待验证假设</x:v>
      </x:c>
      <x:c r="B12" s="34" t="str">
        <x:v>SelfTest 良率异常是合适的首个 PoC</x:v>
      </x:c>
      <x:c r="C12" s="34" t="str">
        <x:v>用合成 MVP 提供可讨论对象</x:v>
      </x:c>
      <x:c r="D12" s="34" t="str">
        <x:v>F127 和流程不是 Seagate 真实代码或规范</x:v>
      </x:c>
      <x:c r="E12" s="34" t="str">
        <x:v>内部访谈</x:v>
      </x:c>
      <x:c r="F12" s="34" t="str">
        <x:v>是否应替换为更高价值的测试/良率异常？</x:v>
      </x:c>
    </x:row>
    <x:row r="13" ht="68" customHeight="1">
      <x:c r="A13" s="36" t="str">
        <x:v>安全边界</x:v>
      </x:c>
      <x:c r="B13" s="36" t="str">
        <x:v>PoC 是只读决策支持，不是自动控制</x:v>
      </x:c>
      <x:c r="C13" s="36" t="str">
        <x:v>将风险限制在检索、建议和记录</x:v>
      </x:c>
      <x:c r="D13" s="36" t="str">
        <x:v>不自动改参数、跳测、停线或放行</x:v>
      </x:c>
      <x:c r="E13" s="36" t="str">
        <x:v>内部方案</x:v>
      </x:c>
      <x:c r="F13" s="36" t="str">
        <x:v>还有哪些动作必须一票拒绝？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字典｜数据验证值</x:v>
      </x:c>
      <x:c r="B1" s="3" t="str">
        <x:v>字典｜数据验证值</x:v>
      </x:c>
      <x:c r="C1" s="3" t="str">
        <x:v>字典｜数据验证值</x:v>
      </x:c>
      <x:c r="D1" s="3" t="str">
        <x:v>字典｜数据验证值</x:v>
      </x:c>
      <x:c r="E1" s="3" t="str">
        <x:v>字典｜数据验证值</x:v>
      </x:c>
      <x:c r="F1" s="3" t="str">
        <x:v>字典｜数据验证值</x:v>
      </x:c>
      <x:c r="G1" s="3" t="str">
        <x:v>字典｜数据验证值</x:v>
      </x:c>
      <x:c r="H1" s="3" t="str">
        <x:v>字典｜数据验证值</x:v>
      </x:c>
    </x:row>
    <x:row r="2" ht="34" customHeight="1">
      <x:c r="A2" s="7" t="str">
        <x:v>供各工作表下拉选项和字段讨论使用。可以由工厂数据所有者扩展，但应保持受控和可审计。</x:v>
      </x:c>
      <x:c r="B2" s="7" t="str">
        <x:v>供各工作表下拉选项和字段讨论使用。可以由工厂数据所有者扩展，但应保持受控和可审计。</x:v>
      </x:c>
      <x:c r="C2" s="7" t="str">
        <x:v>供各工作表下拉选项和字段讨论使用。可以由工厂数据所有者扩展，但应保持受控和可审计。</x:v>
      </x:c>
      <x:c r="D2" s="7" t="str">
        <x:v>供各工作表下拉选项和字段讨论使用。可以由工厂数据所有者扩展，但应保持受控和可审计。</x:v>
      </x:c>
      <x:c r="E2" s="7" t="str">
        <x:v>供各工作表下拉选项和字段讨论使用。可以由工厂数据所有者扩展，但应保持受控和可审计。</x:v>
      </x:c>
      <x:c r="F2" s="7" t="str">
        <x:v>供各工作表下拉选项和字段讨论使用。可以由工厂数据所有者扩展，但应保持受控和可审计。</x:v>
      </x:c>
      <x:c r="G2" s="7" t="str">
        <x:v>供各工作表下拉选项和字段讨论使用。可以由工厂数据所有者扩展，但应保持受控和可审计。</x:v>
      </x:c>
      <x:c r="H2" s="7" t="str">
        <x:v>供各工作表下拉选项和字段讨论使用。可以由工厂数据所有者扩展，但应保持受控和可审计。</x:v>
      </x:c>
    </x:row>
    <x:row r="5" ht="32" customHeight="1">
      <x:c r="A5" s="19" t="str">
        <x:v>优先级</x:v>
      </x:c>
      <x:c r="B5" s="20" t="str">
        <x:v>状态</x:v>
      </x:c>
      <x:c r="C5" s="20" t="str">
        <x:v>文档状态</x:v>
      </x:c>
      <x:c r="D5" s="20" t="str">
        <x:v>风险</x:v>
      </x:c>
      <x:c r="E5" s="20" t="str">
        <x:v>案例分组</x:v>
      </x:c>
      <x:c r="F5" s="20" t="str">
        <x:v>SME 判断</x:v>
      </x:c>
      <x:c r="G5" s="20" t="str">
        <x:v>根因类别</x:v>
      </x:c>
      <x:c r="H5" s="21" t="str">
        <x:v>异常范围</x:v>
      </x:c>
    </x:row>
    <x:row r="6">
      <x:c r="A6" s="33" t="str">
        <x:v>P0</x:v>
      </x:c>
      <x:c r="B6" s="33" t="str">
        <x:v>未开始</x:v>
      </x:c>
      <x:c r="C6" s="33" t="str">
        <x:v>草稿</x:v>
      </x:c>
      <x:c r="D6" s="33" t="str">
        <x:v>低</x:v>
      </x:c>
      <x:c r="E6" s="33" t="str">
        <x:v>Index</x:v>
      </x:c>
      <x:c r="F6" s="33" t="str">
        <x:v>相关</x:v>
      </x:c>
      <x:c r="G6" s="33" t="str">
        <x:v>设备</x:v>
      </x:c>
      <x:c r="H6" s="33" t="str">
        <x:v>单站</x:v>
      </x:c>
    </x:row>
    <x:row r="7">
      <x:c r="A7" s="34" t="str">
        <x:v>P1</x:v>
      </x:c>
      <x:c r="B7" s="34" t="str">
        <x:v>盘点中</x:v>
      </x:c>
      <x:c r="C7" s="34" t="str">
        <x:v>有效</x:v>
      </x:c>
      <x:c r="D7" s="34" t="str">
        <x:v>中</x:v>
      </x:c>
      <x:c r="E7" s="34" t="str">
        <x:v>Blind Test</x:v>
      </x:c>
      <x:c r="F7" s="34" t="str">
        <x:v>部分相关</x:v>
      </x:c>
      <x:c r="G7" s="34" t="str">
        <x:v>物料</x:v>
      </x:c>
      <x:c r="H7" s="34" t="str">
        <x:v>多站</x:v>
      </x:c>
    </x:row>
    <x:row r="8">
      <x:c r="A8" s="34" t="str">
        <x:v>P2</x:v>
      </x:c>
      <x:c r="B8" s="34" t="str">
        <x:v>待审批</x:v>
      </x:c>
      <x:c r="C8" s="34" t="str">
        <x:v>已替代</x:v>
      </x:c>
      <x:c r="D8" s="34" t="str">
        <x:v>高</x:v>
      </x:c>
      <x:c r="E8" s="34" t="str">
        <x:v>排除</x:v>
      </x:c>
      <x:c r="F8" s="34" t="str">
        <x:v>无关</x:v>
      </x:c>
      <x:c r="G8" s="34" t="str">
        <x:v>过程</x:v>
      </x:c>
      <x:c r="H8" s="34" t="str">
        <x:v>跨线</x:v>
      </x:c>
    </x:row>
    <x:row r="9">
      <x:c r="A9" s="34" t="str"/>
      <x:c r="B9" s="34" t="str">
        <x:v>已确认</x:v>
      </x:c>
      <x:c r="C9" s="34" t="str">
        <x:v>已退休</x:v>
      </x:c>
      <x:c r="D9" s="34" t="str">
        <x:v>极高</x:v>
      </x:c>
      <x:c r="E9" s="34" t="str"/>
      <x:c r="F9" s="34" t="str">
        <x:v>证据不足</x:v>
      </x:c>
      <x:c r="G9" s="34" t="str">
        <x:v>固件</x:v>
      </x:c>
      <x:c r="H9" s="34" t="str">
        <x:v>物料集中</x:v>
      </x:c>
    </x:row>
    <x:row r="10">
      <x:c r="A10" s="34" t="str"/>
      <x:c r="B10" s="34" t="str">
        <x:v>阻塞</x:v>
      </x:c>
      <x:c r="C10" s="34" t="str">
        <x:v>待确认</x:v>
      </x:c>
      <x:c r="D10" s="34" t="str"/>
      <x:c r="E10" s="34" t="str"/>
      <x:c r="F10" s="34" t="str"/>
      <x:c r="G10" s="34" t="str">
        <x:v>测试程序</x:v>
      </x:c>
      <x:c r="H10" s="34" t="str">
        <x:v>版本集中</x:v>
      </x:c>
    </x:row>
    <x:row r="11">
      <x:c r="A11" s="34" t="str"/>
      <x:c r="B11" s="34" t="str">
        <x:v>不适用</x:v>
      </x:c>
      <x:c r="C11" s="34" t="str"/>
      <x:c r="D11" s="34" t="str"/>
      <x:c r="E11" s="34" t="str"/>
      <x:c r="F11" s="34" t="str"/>
      <x:c r="G11" s="34" t="str">
        <x:v>产品设计</x:v>
      </x:c>
      <x:c r="H11" s="34" t="str">
        <x:v>其他</x:v>
      </x:c>
    </x:row>
    <x:row r="12">
      <x:c r="A12" s="36" t="str"/>
      <x:c r="B12" s="36" t="str"/>
      <x:c r="C12" s="36" t="str"/>
      <x:c r="D12" s="36" t="str"/>
      <x:c r="E12" s="36" t="str"/>
      <x:c r="F12" s="36" t="str"/>
      <x:c r="G12" s="36" t="str">
        <x:v>未知</x:v>
      </x:c>
      <x:c r="H12" s="36" t="str"/>
    </x:row>
  </x:sheetData>
  <x:mergeCells>
    <x:mergeCell ref="A1:H1"/>
    <x:mergeCell ref="A2:H2"/>
  </x:mergeCells>
  <x:pageMargins left="0.7" right="0.7" top="0.75" bottom="0.75" header="0.3" footer="0.3"/>
</x:worksheet>
</file>